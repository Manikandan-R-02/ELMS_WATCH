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455" tabRatio="600" firstSheet="0" activeTab="1" autoFilterDateGrouping="1"/>
  </bookViews>
  <sheets>
    <sheet name="Screen Status" sheetId="1" state="visible" r:id="rId1"/>
    <sheet name="Old vs New APIs" sheetId="2" state="visible" r:id="rId2"/>
    <sheet name="Endpoints" sheetId="3" state="visible" r:id="rId3"/>
    <sheet name="Report types" sheetId="4" state="visible" r:id="rId4"/>
    <sheet name="How to use" sheetId="5" state="visible" r:id="rId5"/>
  </sheets>
  <definedNames>
    <definedName name="_xlnm._FilterDatabase" localSheetId="2" hidden="1">'Endpoints'!$A$1:$I$72</definedName>
    <definedName name="_xlnm._FilterDatabase" localSheetId="3" hidden="1">'Report types'!$A$4:$F$39</definedName>
  </definedNames>
  <calcPr calcId="152511" fullCalcOnLoad="1"/>
</workbook>
</file>

<file path=xl/styles.xml><?xml version="1.0" encoding="utf-8"?>
<styleSheet xmlns="http://schemas.openxmlformats.org/spreadsheetml/2006/main">
  <numFmts count="2">
    <numFmt numFmtId="164" formatCode="yyyy\-mm\-dd;;"/>
    <numFmt numFmtId="165" formatCode="yyyy\-mm\-dd"/>
  </numFmts>
  <fonts count="11">
    <font>
      <name val="Calibri"/>
      <family val="2"/>
      <color theme="1"/>
      <sz val="11"/>
      <scheme val="minor"/>
    </font>
    <font>
      <name val="Arial"/>
      <b val="1"/>
      <color rgb="FFFFFFFF"/>
      <sz val="10"/>
    </font>
    <font>
      <name val="Arial"/>
      <sz val="10"/>
    </font>
    <font>
      <name val="Arial"/>
      <b val="1"/>
      <sz val="10"/>
    </font>
    <font>
      <name val="Arial"/>
      <b val="1"/>
      <sz val="12"/>
    </font>
    <font>
      <name val="Calibri"/>
      <b val="1"/>
      <sz val="14"/>
    </font>
    <font>
      <name val="Calibri"/>
      <b val="1"/>
      <sz val="11"/>
    </font>
    <font>
      <name val="Calibri"/>
      <b val="1"/>
      <sz val="12"/>
    </font>
    <font>
      <b val="1"/>
      <sz val="14"/>
    </font>
    <font>
      <b val="1"/>
    </font>
    <font>
      <b val="1"/>
      <sz val="12"/>
    </font>
  </fonts>
  <fills count="9">
    <fill>
      <patternFill/>
    </fill>
    <fill>
      <patternFill patternType="gray125"/>
    </fill>
    <fill>
      <patternFill patternType="solid">
        <fgColor rgb="FF1F3864"/>
      </patternFill>
    </fill>
    <fill>
      <patternFill patternType="solid">
        <fgColor rgb="FFE2EFDA"/>
      </patternFill>
    </fill>
    <fill>
      <patternFill patternType="solid">
        <fgColor rgb="FFEDEDED"/>
      </patternFill>
    </fill>
    <fill>
      <patternFill patternType="solid">
        <fgColor rgb="FFFFF2CC"/>
      </patternFill>
    </fill>
    <fill>
      <patternFill patternType="solid">
        <fgColor rgb="00E2EFDA"/>
      </patternFill>
    </fill>
    <fill>
      <patternFill patternType="solid">
        <fgColor rgb="00EDEDED"/>
      </patternFill>
    </fill>
    <fill>
      <patternFill patternType="solid">
        <fgColor rgb="00FFF2CC"/>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2" borderId="1" applyAlignment="1" pivotButton="0" quotePrefix="0" xfId="0">
      <alignment vertical="center" wrapText="1"/>
    </xf>
    <xf numFmtId="0" fontId="1" fillId="2" borderId="1" pivotButton="0" quotePrefix="0" xfId="0"/>
    <xf numFmtId="0" fontId="1" fillId="2" borderId="1" applyAlignment="1" pivotButton="0" quotePrefix="0" xfId="0">
      <alignment horizontal="center"/>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center" vertical="top" wrapText="1"/>
    </xf>
    <xf numFmtId="0" fontId="2" fillId="0" borderId="1" pivotButton="0" quotePrefix="0" xfId="0"/>
    <xf numFmtId="0" fontId="3" fillId="0" borderId="1" applyAlignment="1" pivotButton="0" quotePrefix="0" xfId="0">
      <alignment horizontal="center"/>
    </xf>
    <xf numFmtId="0" fontId="2" fillId="0" borderId="1" applyAlignment="1" pivotButton="0" quotePrefix="0" xfId="0">
      <alignment vertical="top" wrapText="1"/>
    </xf>
    <xf numFmtId="0" fontId="3" fillId="0" borderId="1" applyAlignment="1" pivotButton="0" quotePrefix="0" xfId="0">
      <alignment horizontal="center" vertical="top"/>
    </xf>
    <xf numFmtId="0" fontId="4"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164" fontId="2" fillId="0" borderId="1" applyAlignment="1" pivotButton="0" quotePrefix="0" xfId="0">
      <alignment horizontal="center" vertical="top" wrapText="1"/>
    </xf>
    <xf numFmtId="165" fontId="2" fillId="0" borderId="1" applyAlignment="1" pivotButton="0" quotePrefix="0" xfId="0">
      <alignment vertical="top" wrapText="1"/>
    </xf>
    <xf numFmtId="0" fontId="0" fillId="0" borderId="0" pivotButton="0" quotePrefix="0" xfId="0"/>
    <xf numFmtId="0" fontId="5" fillId="0" borderId="0" pivotButton="0" quotePrefix="0" xfId="0"/>
    <xf numFmtId="0" fontId="1" fillId="2" borderId="2" applyAlignment="1" pivotButton="0" quotePrefix="0" xfId="0">
      <alignment vertical="center" wrapText="1"/>
    </xf>
    <xf numFmtId="0" fontId="0" fillId="0" borderId="2" pivotButton="0" quotePrefix="0" xfId="0"/>
    <xf numFmtId="0" fontId="6" fillId="0" borderId="2" pivotButton="0" quotePrefix="0" xfId="0"/>
    <xf numFmtId="0" fontId="7" fillId="0" borderId="0" pivotButton="0" quotePrefix="0" xfId="0"/>
    <xf numFmtId="0" fontId="0" fillId="0" borderId="2" applyAlignment="1" pivotButton="0" quotePrefix="0" xfId="0">
      <alignment vertical="top" wrapText="1"/>
    </xf>
    <xf numFmtId="0" fontId="0" fillId="3" borderId="2" applyAlignment="1" pivotButton="0" quotePrefix="0" xfId="0">
      <alignment vertical="top" wrapText="1"/>
    </xf>
    <xf numFmtId="0" fontId="0" fillId="4" borderId="2" applyAlignment="1" pivotButton="0" quotePrefix="0" xfId="0">
      <alignment vertical="top" wrapText="1"/>
    </xf>
    <xf numFmtId="0" fontId="0" fillId="5" borderId="2" applyAlignment="1" pivotButton="0" quotePrefix="0" xfId="0">
      <alignment vertical="top" wrapText="1"/>
    </xf>
    <xf numFmtId="0" fontId="8" fillId="0" borderId="0" pivotButton="0" quotePrefix="0" xfId="0"/>
    <xf numFmtId="0" fontId="1" fillId="2" borderId="3" applyAlignment="1" pivotButton="0" quotePrefix="0" xfId="0">
      <alignment vertical="center" wrapText="1"/>
    </xf>
    <xf numFmtId="0" fontId="0" fillId="0" borderId="3" pivotButton="0" quotePrefix="0" xfId="0"/>
    <xf numFmtId="0" fontId="9" fillId="0" borderId="3" pivotButton="0" quotePrefix="0" xfId="0"/>
    <xf numFmtId="0" fontId="10" fillId="0" borderId="0" pivotButton="0" quotePrefix="0" xfId="0"/>
    <xf numFmtId="0" fontId="0" fillId="0" borderId="3" applyAlignment="1" pivotButton="0" quotePrefix="0" xfId="0">
      <alignment vertical="top" wrapText="1"/>
    </xf>
    <xf numFmtId="0" fontId="0" fillId="6" borderId="3" applyAlignment="1" pivotButton="0" quotePrefix="0" xfId="0">
      <alignment vertical="top" wrapText="1"/>
    </xf>
    <xf numFmtId="0" fontId="0" fillId="7" borderId="3" applyAlignment="1" pivotButton="0" quotePrefix="0" xfId="0">
      <alignment vertical="top" wrapText="1"/>
    </xf>
    <xf numFmtId="0" fontId="0" fillId="8" borderId="3" applyAlignment="1" pivotButton="0" quotePrefix="0" xfId="0">
      <alignment vertical="top" wrapText="1"/>
    </xf>
  </cellXfs>
  <cellStyles count="1">
    <cellStyle name="Normal" xfId="0" builtinId="0"/>
  </cellStyles>
  <dxfs count="12">
    <dxf>
      <fill>
        <patternFill patternType="solid">
          <bgColor rgb="FFF8CBAD"/>
        </patternFill>
      </fill>
    </dxf>
    <dxf>
      <fill>
        <patternFill patternType="solid">
          <bgColor rgb="FFF8CBAD"/>
        </patternFill>
      </fill>
    </dxf>
    <dxf>
      <font>
        <name val="Arial"/>
        <sz val="10"/>
      </font>
      <fill>
        <patternFill patternType="solid">
          <bgColor rgb="FFA9D08E"/>
        </patternFill>
      </fill>
    </dxf>
    <dxf>
      <font>
        <name val="Arial"/>
        <sz val="10"/>
      </font>
      <fill>
        <patternFill patternType="solid">
          <bgColor rgb="FFE2EFDA"/>
        </patternFill>
      </fill>
    </dxf>
    <dxf>
      <font>
        <name val="Arial"/>
        <sz val="10"/>
      </font>
      <fill>
        <patternFill patternType="solid">
          <bgColor rgb="FFFCE4D6"/>
        </patternFill>
      </fill>
    </dxf>
    <dxf>
      <fill>
        <patternFill patternType="solid">
          <bgColor rgb="FFEDEDED"/>
        </patternFill>
      </fill>
    </dxf>
    <dxf>
      <fill>
        <patternFill patternType="solid">
          <bgColor rgb="FFFCE4D6"/>
        </patternFill>
      </fill>
    </dxf>
    <dxf>
      <fill>
        <patternFill patternType="solid">
          <bgColor rgb="FFC6E0B4"/>
        </patternFill>
      </fill>
    </dxf>
    <dxf>
      <fill>
        <patternFill patternType="solid">
          <bgColor rgb="FFEDEDED"/>
        </patternFill>
      </fill>
    </dxf>
    <dxf>
      <fill>
        <patternFill patternType="solid">
          <bgColor rgb="FFFCE4D6"/>
        </patternFill>
      </fill>
    </dxf>
    <dxf>
      <fill>
        <patternFill patternType="solid">
          <bgColor rgb="FFFFF2CC"/>
        </patternFill>
      </fill>
    </dxf>
    <dxf>
      <fill>
        <patternFill patternType="solid">
          <bgColor rgb="FFC6E0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pane xSplit="2" ySplit="1" topLeftCell="C10" activePane="bottomRight" state="frozen"/>
      <selection pane="topRight" activeCell="A1" sqref="A1"/>
      <selection pane="bottomLeft" activeCell="A1" sqref="A1"/>
      <selection pane="bottomRight" activeCell="H5" sqref="H5"/>
    </sheetView>
  </sheetViews>
  <sheetFormatPr baseColWidth="8" defaultRowHeight="15"/>
  <cols>
    <col width="5" customWidth="1" style="16" min="1" max="1"/>
    <col width="32" customWidth="1" style="16" min="2" max="2"/>
    <col width="11" customWidth="1" style="16" min="3" max="3"/>
    <col width="12" customWidth="1" style="16" min="4" max="4"/>
    <col width="16" customWidth="1" style="16" min="5" max="5"/>
    <col width="14" customWidth="1" style="16" min="6" max="6"/>
    <col width="18" customWidth="1" style="16" min="7" max="7"/>
    <col width="80" customWidth="1" style="16" min="8" max="8"/>
    <col width="28" customWidth="1" style="16" min="10" max="10"/>
    <col width="10" customWidth="1" style="16" min="11" max="11"/>
  </cols>
  <sheetData>
    <row r="1" ht="30" customHeight="1" s="16">
      <c r="A1" s="1" t="inlineStr">
        <is>
          <t>#</t>
        </is>
      </c>
      <c r="B1" s="1" t="inlineStr">
        <is>
          <t>Screen</t>
        </is>
      </c>
      <c r="C1" s="1" t="inlineStr">
        <is>
          <t>Endpoints</t>
        </is>
      </c>
      <c r="D1" s="1" t="inlineStr">
        <is>
          <t>Integrated</t>
        </is>
      </c>
      <c r="E1" s="1" t="inlineStr">
        <is>
          <t>New API added?</t>
        </is>
      </c>
      <c r="F1" s="1" t="inlineStr">
        <is>
          <t>Last updated</t>
        </is>
      </c>
      <c r="G1" s="1" t="inlineStr">
        <is>
          <t>Tour covers all options?</t>
        </is>
      </c>
      <c r="H1" s="1" t="inlineStr">
        <is>
          <t>Notes</t>
        </is>
      </c>
      <c r="J1" s="2" t="inlineStr">
        <is>
          <t>Summary</t>
        </is>
      </c>
      <c r="K1" s="3" t="inlineStr">
        <is>
          <t>Count</t>
        </is>
      </c>
    </row>
    <row r="2" ht="25.5" customHeight="1" s="16">
      <c r="A2" s="4" t="n">
        <v>1</v>
      </c>
      <c r="B2" s="5" t="inlineStr">
        <is>
          <t>Overall Summary</t>
        </is>
      </c>
      <c r="C2" s="4">
        <f>COUNTIF(Endpoints!$A:$A,$B2)</f>
        <v/>
      </c>
      <c r="D2" s="4">
        <f>COUNTIFS(Endpoints!$A:$A,$B2,Endpoints!$E:$E,"Integrated")+COUNTIFS(Endpoints!$A:$A,$B2,Endpoints!$E:$E,"Verified")</f>
        <v/>
      </c>
      <c r="E2" s="6">
        <f>IF(C2=0,"No API",IF(D2=0,"No",IF(D2=C2,"Yes","Partial")))</f>
        <v/>
      </c>
      <c r="F2" s="14">
        <f>IFERROR(SUMPRODUCT(MAX((Endpoints!$A$2:$A$500=$B2)*Endpoints!$F$2:$F$500)),"")</f>
        <v/>
      </c>
      <c r="G2" s="6" t="inlineStr">
        <is>
          <t>Yes</t>
        </is>
      </c>
      <c r="H2" s="5" t="inlineStr">
        <is>
          <t>DONE 2026-10-06: both endpoints switched to the new backend; tour covers the whole screen (17 steps, 2026-10-07). Next: one check against the real server.</t>
        </is>
      </c>
      <c r="J2" s="7" t="inlineStr">
        <is>
          <t>Screens fully on new API</t>
        </is>
      </c>
      <c r="K2" s="8">
        <f>COUNTIF($E$2:$E$24,"Yes")</f>
        <v/>
      </c>
    </row>
    <row r="3" ht="25.5" customHeight="1" s="16">
      <c r="A3" s="4" t="n">
        <v>2</v>
      </c>
      <c r="B3" s="5" t="inlineStr">
        <is>
          <t>Location Summary</t>
        </is>
      </c>
      <c r="C3" s="4">
        <f>COUNTIF(Endpoints!$A:$A,$B3)</f>
        <v/>
      </c>
      <c r="D3" s="4">
        <f>COUNTIFS(Endpoints!$A:$A,$B3,Endpoints!$E:$E,"Integrated")+COUNTIFS(Endpoints!$A:$A,$B3,Endpoints!$E:$E,"Verified")</f>
        <v/>
      </c>
      <c r="E3" s="6">
        <f>IF(C3=0,"No API",IF(D3=0,"No",IF(D3=C3,"Yes","Partial")))</f>
        <v/>
      </c>
      <c r="F3" s="14">
        <f>IFERROR(SUMPRODUCT(MAX((Endpoints!$A$2:$A$500=$B3)*Endpoints!$F$2:$F$500)),"")</f>
        <v/>
      </c>
      <c r="G3" s="6" t="inlineStr">
        <is>
          <t>Yes</t>
        </is>
      </c>
      <c r="H3" s="5" t="inlineStr">
        <is>
          <t>DONE 2026-10-07: all 4 endpoints switched to the new backend and the tour covers every tab and modal (26 steps). Next: one check against the real server.</t>
        </is>
      </c>
      <c r="J3" s="7" t="inlineStr">
        <is>
          <t>Screens partly on new API</t>
        </is>
      </c>
      <c r="K3" s="8">
        <f>COUNTIF($E$2:$E$24,"Partial")</f>
        <v/>
      </c>
    </row>
    <row r="4" ht="51" customHeight="1" s="16">
      <c r="A4" s="4" t="n">
        <v>3</v>
      </c>
      <c r="B4" s="5" t="inlineStr">
        <is>
          <t>Location Details</t>
        </is>
      </c>
      <c r="C4" s="4">
        <f>COUNTIF(Endpoints!$A:$A,$B4)</f>
        <v/>
      </c>
      <c r="D4" s="4">
        <f>COUNTIFS(Endpoints!$A:$A,$B4,Endpoints!$E:$E,"Integrated")+COUNTIFS(Endpoints!$A:$A,$B4,Endpoints!$E:$E,"Verified")</f>
        <v/>
      </c>
      <c r="E4" s="6">
        <f>IF(C4=0,"No API",IF(D4=0,"No",IF(D4=C4,"Yes","Partial")))</f>
        <v/>
      </c>
      <c r="F4" s="14">
        <f>IFERROR(SUMPRODUCT(MAX((Endpoints!$A$2:$A$500=$B4)*Endpoints!$F$2:$F$500)),"")</f>
        <v/>
      </c>
      <c r="G4" s="6" t="inlineStr">
        <is>
          <t>Yes</t>
        </is>
      </c>
      <c r="H4" s="5" t="inlineStr">
        <is>
          <t>DONE 2026-10-07: all 6 calls are on the new backend (4 own endpoints, including the Inventory-tab date popup, plus the 2 location-picker dropdowns shared with Location Summary); tour covers the whole screen (20 steps, 5 when no location is picked). Tell the backend team: inventoryData and inventoryDataByLocationByDate are on locationSummaryController; confirm previousMonths / previousYears. Next: one check against the real server.</t>
        </is>
      </c>
      <c r="J4" s="7" t="inlineStr">
        <is>
          <t>Screens not started</t>
        </is>
      </c>
      <c r="K4" s="8">
        <f>COUNTIF($E$2:$E$24,"No")</f>
        <v/>
      </c>
    </row>
    <row r="5" ht="25.5" customHeight="1" s="16">
      <c r="A5" s="4" t="n">
        <v>4</v>
      </c>
      <c r="B5" s="5" t="inlineStr">
        <is>
          <t>Location Insight</t>
        </is>
      </c>
      <c r="C5" s="4">
        <f>COUNTIF(Endpoints!$A:$A,$B5)</f>
        <v/>
      </c>
      <c r="D5" s="4">
        <f>COUNTIFS(Endpoints!$A:$A,$B5,Endpoints!$E:$E,"Integrated")+COUNTIFS(Endpoints!$A:$A,$B5,Endpoints!$E:$E,"Verified")</f>
        <v/>
      </c>
      <c r="E5" s="6">
        <f>IF(C5=0,"No API",IF(D5=0,"No",IF(D5=C5,"Yes","Partial")))</f>
        <v/>
      </c>
      <c r="F5" s="14">
        <f>IFERROR(SUMPRODUCT(MAX((Endpoints!$A$2:$A$500=$B5)*Endpoints!$F$2:$F$500)),"")</f>
        <v/>
      </c>
      <c r="G5" s="6" t="inlineStr">
        <is>
          <t>Yes</t>
        </is>
      </c>
      <c r="H5" s="5" t="inlineStr">
        <is>
          <t>DONE 2026-10-07: all 3 calls are on the new backend (listOfLocationInsight on the new response shape, plus the 2 location-picker dropdowns shared with Location Summary); tour rebuilt to cover the picker, Refresh, headline figures and all four chart tabs (11 steps, 5 when no location is picked). Day-wise string format to be confirmed (see Endpoints).</t>
        </is>
      </c>
      <c r="J5" s="7" t="inlineStr">
        <is>
          <t>Screens with no API</t>
        </is>
      </c>
      <c r="K5" s="8">
        <f>COUNTIF($E$2:$E$24,"No API")</f>
        <v/>
      </c>
    </row>
    <row r="6" ht="38.25" customHeight="1" s="16">
      <c r="A6" s="4" t="n">
        <v>5</v>
      </c>
      <c r="B6" s="5" t="inlineStr">
        <is>
          <t>Daily PRJ</t>
        </is>
      </c>
      <c r="C6" s="4">
        <f>COUNTIF(Endpoints!$A:$A,$B6)</f>
        <v/>
      </c>
      <c r="D6" s="4">
        <f>COUNTIFS(Endpoints!$A:$A,$B6,Endpoints!$E:$E,"Integrated")+COUNTIFS(Endpoints!$A:$A,$B6,Endpoints!$E:$E,"Verified")</f>
        <v/>
      </c>
      <c r="E6" s="6">
        <f>IF(C6=0,"No API",IF(D6=0,"No",IF(D6=C6,"Yes","Partial")))</f>
        <v/>
      </c>
      <c r="F6" s="14">
        <f>IFERROR(SUMPRODUCT(MAX((Endpoints!$A$2:$A$500=$B6)*Endpoints!$F$2:$F$500)),"")</f>
        <v/>
      </c>
      <c r="G6" s="6" t="inlineStr">
        <is>
          <t>Yes</t>
        </is>
      </c>
      <c r="H6" s="5" t="inlineStr">
        <is>
          <t>DONE 2026-10-08 (hold lifted): both calls (summary, and one location's detail) are on the new analysis-service dailyPRJ endpoint with the same params and response structure as before. Tour rebuilt to cover Refresh, search, Download Excel and its confirm dialog, Hide/Show table, the location table, then a location's picker, date search, month rollups, cumulative / PRJ-breakdown switches, day table and PRJ Target Summary (17 steps). Next: one check against the real server.</t>
        </is>
      </c>
      <c r="J6" s="7" t="inlineStr">
        <is>
          <t>Total endpoints</t>
        </is>
      </c>
      <c r="K6" s="8">
        <f>SUM($C$2:$C$24)</f>
        <v/>
      </c>
    </row>
    <row r="7" ht="63.75" customHeight="1" s="16">
      <c r="A7" s="4" t="n">
        <v>6</v>
      </c>
      <c r="B7" s="5" t="inlineStr">
        <is>
          <t>Consumption Analysis</t>
        </is>
      </c>
      <c r="C7" s="4">
        <f>COUNTIF(Endpoints!$A:$A,$B7)</f>
        <v/>
      </c>
      <c r="D7" s="4">
        <f>COUNTIFS(Endpoints!$A:$A,$B7,Endpoints!$E:$E,"Integrated")+COUNTIFS(Endpoints!$A:$A,$B7,Endpoints!$E:$E,"Verified")</f>
        <v/>
      </c>
      <c r="E7" s="6">
        <f>IF(C7=0,"No API",IF(D7=0,"No",IF(D7=C7,"Yes","Partial")))</f>
        <v/>
      </c>
      <c r="F7" s="14">
        <f>IFERROR(SUMPRODUCT(MAX((Endpoints!$A$2:$A$500=$B7)*Endpoints!$F$2:$F$500)),"")</f>
        <v/>
      </c>
      <c r="G7" s="6" t="inlineStr">
        <is>
          <t>Yes</t>
        </is>
      </c>
      <c r="H7" s="5" t="inlineStr">
        <is>
          <t>DONE 2026-10-08 (hold lifted): all 8 calls (7 endpoints) are on the new analysis-service with the new {success, data} responses. The detail call's new lists (summaryList / srcTypeList / perMandayList) are mapped back to what the screen uses; the Excel download handles a file, a JSON error or a JSON file link and shows the backend's message if it refuses. Failures to load the filter lists are now shown in the filter dialog. Tour rebuilt to cover Refresh, search, Download Excel and its confirmation, the summary table, the Filters button, its dialog and Apply, Clear, the chart with its metric switch, tabs and drilled-in view, and the item table (up to 21 steps, 12 when the summary is empty). Tell the backend team: unit price, the per-manday map, the Excel response. Next: one check against the real server.</t>
        </is>
      </c>
      <c r="J7" s="7" t="inlineStr">
        <is>
          <t>Endpoints integrated</t>
        </is>
      </c>
      <c r="K7" s="8">
        <f>SUM($D$2:$D$24)</f>
        <v/>
      </c>
    </row>
    <row r="8">
      <c r="A8" s="4" t="n">
        <v>7</v>
      </c>
      <c r="B8" s="5" t="inlineStr">
        <is>
          <t>Stock on Hand</t>
        </is>
      </c>
      <c r="C8" s="4">
        <f>COUNTIF(Endpoints!$A:$A,$B8)</f>
        <v/>
      </c>
      <c r="D8" s="4">
        <f>COUNTIFS(Endpoints!$A:$A,$B8,Endpoints!$E:$E,"Integrated")+COUNTIFS(Endpoints!$A:$A,$B8,Endpoints!$E:$E,"Verified")</f>
        <v/>
      </c>
      <c r="E8" s="6">
        <f>IF(C8=0,"No API",IF(D8=0,"No",IF(D8=C8,"Yes","Partial")))</f>
        <v/>
      </c>
      <c r="F8" s="14">
        <f>IFERROR(SUMPRODUCT(MAX((Endpoints!$A$2:$A$500=$B8)*Endpoints!$F$2:$F$500)),"")</f>
        <v/>
      </c>
      <c r="G8" s="6" t="inlineStr">
        <is>
          <t>Yes</t>
        </is>
      </c>
      <c r="H8" s="5" t="inlineStr">
        <is>
          <t>DONE 2026-10-08: all 6 calls (5 endpoints) are on the new analysis-service with the {success, data} responses. sohAnalysisLst now returns {summary, sohList}; mapped back to the rows and the days-holding threshold. The Excel download handles a file, a JSON error or a JSON file link and shows the backend's message if it refuses; location-list failures are now shown. Tour rebuilt: Refresh, summary search, Download All and its confirmation, the summary table, the location picker, Download Location, then the category chart, item category, item search and item table (up to 15 steps, 9 when the summary is empty). Tell the backend team: the overallDropDown controller name (assumed locationDetailsController), the Excel response, and that sohList rows carry locationId. Next: one check against the real server.</t>
        </is>
      </c>
      <c r="J8" s="7" t="inlineStr">
        <is>
          <t>Tours covering every option</t>
        </is>
      </c>
      <c r="K8" s="8">
        <f>COUNTIF($G$2:$G$24,"Yes")</f>
        <v/>
      </c>
    </row>
    <row r="9">
      <c r="A9" s="4" t="n">
        <v>8</v>
      </c>
      <c r="B9" s="5" t="inlineStr">
        <is>
          <t>Data Tracker Report</t>
        </is>
      </c>
      <c r="C9" s="4">
        <f>COUNTIF(Endpoints!$A:$A,$B9)</f>
        <v/>
      </c>
      <c r="D9" s="4">
        <f>COUNTIFS(Endpoints!$A:$A,$B9,Endpoints!$E:$E,"Integrated")+COUNTIFS(Endpoints!$A:$A,$B9,Endpoints!$E:$E,"Verified")</f>
        <v/>
      </c>
      <c r="E9" s="6">
        <f>IF(C9=0,"No API",IF(D9=0,"No",IF(D9=C9,"Yes","Partial")))</f>
        <v/>
      </c>
      <c r="F9" s="14">
        <f>IFERROR(SUMPRODUCT(MAX((Endpoints!$A$2:$A$500=$B9)*Endpoints!$F$2:$F$500)),"")</f>
        <v/>
      </c>
      <c r="G9" s="6" t="inlineStr">
        <is>
          <t>Yes</t>
        </is>
      </c>
      <c r="H9" s="5" t="inlineStr">
        <is>
          <t>DONE 2026-10-08: the 1 call is on the new analysis-service (same call as old ELMS; the Excel link is in the same response). The response is read bare or inside the new envelope, and the link from download_url or downloadUrlPath. Tour rebuilt to cover Refresh, the summary line, the Yes/No legend, search, Download Excel (only when a link is returned) and the grid (8 steps). Tell the backend team: the swagger response is {} - please confirm the shape. Next: one check against the real server.</t>
        </is>
      </c>
      <c r="J9" s="7" t="inlineStr">
        <is>
          <t>Tours still to review</t>
        </is>
      </c>
      <c r="K9" s="8">
        <f>COUNTIF($G$2:$G$24,"No")</f>
        <v/>
      </c>
    </row>
    <row r="10">
      <c r="A10" s="4" t="n">
        <v>9</v>
      </c>
      <c r="B10" s="5" t="inlineStr">
        <is>
          <t>Target PRJ</t>
        </is>
      </c>
      <c r="C10" s="4">
        <f>COUNTIF(Endpoints!$A:$A,$B10)</f>
        <v/>
      </c>
      <c r="D10" s="4">
        <f>COUNTIFS(Endpoints!$A:$A,$B10,Endpoints!$E:$E,"Integrated")+COUNTIFS(Endpoints!$A:$A,$B10,Endpoints!$E:$E,"Verified")</f>
        <v/>
      </c>
      <c r="E10" s="6">
        <f>IF(C10=0,"No API",IF(D10=0,"No",IF(D10=C10,"Yes","Partial")))</f>
        <v/>
      </c>
      <c r="F10" s="14">
        <f>IFERROR(SUMPRODUCT(MAX((Endpoints!$A$2:$A$500=$B10)*Endpoints!$F$2:$F$500)),"")</f>
        <v/>
      </c>
      <c r="G10" s="6" t="inlineStr">
        <is>
          <t>Yes</t>
        </is>
      </c>
      <c r="H10" s="5" t="inlineStr">
        <is>
          <t>DONE 2026-10-08: both calls are on the new overallSummary-service (locationInsightController) with the new {success, data} responses; a failed save now shows the backend's own message. Tour rebuilt to cover the month picker, Refresh, search, Download, unsaved markers, the location list, Update Target and the dialog (values, Reset, Update) - 12 steps, 8 when no location is listed. Tell the backend team: the extra fields on the save request. Next: one check against the real server.</t>
        </is>
      </c>
      <c r="J10" s="7" t="inlineStr">
        <is>
          <t>Endpoints to raise with backend</t>
        </is>
      </c>
      <c r="K10" s="8">
        <f>COUNTIF(Endpoints!$G:$G,"Yes")</f>
        <v/>
      </c>
    </row>
    <row r="11">
      <c r="A11" s="4" t="n">
        <v>10</v>
      </c>
      <c r="B11" s="5" t="inlineStr">
        <is>
          <t>Productivity</t>
        </is>
      </c>
      <c r="C11" s="4">
        <f>COUNTIF(Endpoints!$A:$A,$B11)</f>
        <v/>
      </c>
      <c r="D11" s="4">
        <f>COUNTIFS(Endpoints!$A:$A,$B11,Endpoints!$E:$E,"Integrated")+COUNTIFS(Endpoints!$A:$A,$B11,Endpoints!$E:$E,"Verified")</f>
        <v/>
      </c>
      <c r="E11" s="6">
        <f>IF(C11=0,"No API",IF(D11=0,"No",IF(D11=C11,"Yes","Partial")))</f>
        <v/>
      </c>
      <c r="F11" s="14">
        <f>IFERROR(SUMPRODUCT(MAX((Endpoints!$A$2:$A$500=$B11)*Endpoints!$F$2:$F$500)),"")</f>
        <v/>
      </c>
      <c r="G11" s="6" t="inlineStr">
        <is>
          <t>Yes</t>
        </is>
      </c>
      <c r="H11" s="5" t="inlineStr">
        <is>
          <t>DONE 2026-10-08: both calls are on the new overallSummary-service (locationInsightController) with the new {success, data} responses; a failed save now shows the backend's own message. Tour rebuilt to cover the month picker, Refresh, search, the unsaved marker, Save and the table (8 steps; the unsaved step only shows once a value is edited). Tell the backend team: the extra fields on the save request. Next: one check against the real server.</t>
        </is>
      </c>
    </row>
    <row r="12">
      <c r="A12" s="4" t="n">
        <v>11</v>
      </c>
      <c r="B12" s="5" t="inlineStr">
        <is>
          <t>Report</t>
        </is>
      </c>
      <c r="C12" s="4">
        <f>COUNTIF(Endpoints!$A:$A,$B12)</f>
        <v/>
      </c>
      <c r="D12" s="4">
        <f>COUNTIFS(Endpoints!$A:$A,$B12,Endpoints!$E:$E,"Integrated")+COUNTIFS(Endpoints!$A:$A,$B12,Endpoints!$E:$E,"Verified")</f>
        <v/>
      </c>
      <c r="E12" s="6">
        <f>IF(C12=0,"No API",IF(D12=0,"No",IF(D12=C12,"Yes","Partial")))</f>
        <v/>
      </c>
      <c r="F12" s="14">
        <f>IFERROR(SUMPRODUCT(MAX((Endpoints!$A$2:$A$500=$B12)*Endpoints!$F$2:$F$500)),"")</f>
        <v/>
      </c>
      <c r="G12" s="6" t="inlineStr">
        <is>
          <t>Yes</t>
        </is>
      </c>
      <c r="H12" s="5" t="inlineStr">
        <is>
          <t>DONE 2026-10-07: the 1 call (35 reports through one path) matches the new backend's swagger path; the download link is read from download_url or the new envelope's downloadUrlPath. Tour rebuilt to cover Reset form, the report picker, the period, Generate, and (once a report has been generated) the result panel, Recent Generations and Clear history (10 steps; the last 3 are skipped until a run). Tell the backend team: confirm the other 34 report methods and the response shape. Next: one check against the real server.</t>
        </is>
      </c>
    </row>
    <row r="13" ht="76.5" customHeight="1" s="16">
      <c r="A13" s="4" t="n">
        <v>12</v>
      </c>
      <c r="B13" s="5" t="inlineStr">
        <is>
          <t>Category Analysis</t>
        </is>
      </c>
      <c r="C13" s="4">
        <f>COUNTIF(Endpoints!$A:$A,$B13)</f>
        <v/>
      </c>
      <c r="D13" s="4">
        <f>COUNTIFS(Endpoints!$A:$A,$B13,Endpoints!$E:$E,"Integrated")+COUNTIFS(Endpoints!$A:$A,$B13,Endpoints!$E:$E,"Verified")</f>
        <v/>
      </c>
      <c r="E13" s="6">
        <f>IF(C13=0,"No API",IF(D13=0,"No",IF(D13=C13,"Yes","Partial")))</f>
        <v/>
      </c>
      <c r="F13" s="14">
        <f>IFERROR(SUMPRODUCT(MAX((Endpoints!$A$2:$A$500=$B13)*Endpoints!$F$2:$F$500)),"")</f>
        <v/>
      </c>
      <c r="G13" s="6" t="inlineStr">
        <is>
          <t>Yes</t>
        </is>
      </c>
      <c r="H13" s="5" t="inlineStr">
        <is>
          <t>DONE 2026-10-07: all 6 calls are on the new item-analysis-summary-service (5 on categoryAnalysisController incl. the dropdowns, 1 on itemIngredientAnalysisController) with the new {success, data} responses; tour rebuilt to cover the picker, Refresh, source type, date, Fetch/Clear, POB, chart, search and the group, category and item levels (17 steps, 4 when no location is picked). Tell the backend team: listOfItemIngredientAnalysis fromDate/toDate/periodStr. Next: one check against the real server.</t>
        </is>
      </c>
    </row>
    <row r="14">
      <c r="A14" s="4" t="n">
        <v>13</v>
      </c>
      <c r="B14" s="5" t="inlineStr">
        <is>
          <t>Item Analysis</t>
        </is>
      </c>
      <c r="C14" s="4">
        <f>COUNTIF(Endpoints!$A:$A,$B14)</f>
        <v/>
      </c>
      <c r="D14" s="4">
        <f>COUNTIFS(Endpoints!$A:$A,$B14,Endpoints!$E:$E,"Integrated")+COUNTIFS(Endpoints!$A:$A,$B14,Endpoints!$E:$E,"Verified")</f>
        <v/>
      </c>
      <c r="E14" s="6">
        <f>IF(C14=0,"No API",IF(D14=0,"No",IF(D14=C14,"Yes","Partial")))</f>
        <v/>
      </c>
      <c r="F14" s="14">
        <f>IFERROR(SUMPRODUCT(MAX((Endpoints!$A$2:$A$500=$B14)*Endpoints!$F$2:$F$500)),"")</f>
        <v/>
      </c>
      <c r="G14" s="6" t="inlineStr">
        <is>
          <t>Yes</t>
        </is>
      </c>
      <c r="H14" s="5" t="inlineStr">
        <is>
          <t>DONE 2026-10-08: all 6 calls are on the new item-analysis-summary-service with the new {success, data} responses - 4 on its own itemIngredientAnalysisController (2 location dropdowns incl. index 0, the location-by-category list, and the item analysis itself), the category list reused from Item Breakup and the SRC type list reused from Category Analysis. Failures to load the filter lists are now shown on the page. Tour rebuilt to cover the location picker, Refresh, Source Type, Category, Date, Fetch / Clear, the chart and its drilled-in view with Back, search and the table (14 steps, 4 when no location is chosen). Tell the backend team: categoryId in categoryList vs itemList. Next: one check against the real server.</t>
        </is>
      </c>
    </row>
    <row r="15">
      <c r="A15" s="4" t="n">
        <v>14</v>
      </c>
      <c r="B15" s="5" t="inlineStr">
        <is>
          <t>Item Breakup</t>
        </is>
      </c>
      <c r="C15" s="4">
        <f>COUNTIF(Endpoints!$A:$A,$B15)</f>
        <v/>
      </c>
      <c r="D15" s="4">
        <f>COUNTIFS(Endpoints!$A:$A,$B15,Endpoints!$E:$E,"Integrated")+COUNTIFS(Endpoints!$A:$A,$B15,Endpoints!$E:$E,"Verified")</f>
        <v/>
      </c>
      <c r="E15" s="6">
        <f>IF(C15=0,"No API",IF(D15=0,"No",IF(D15=C15,"Yes","Partial")))</f>
        <v/>
      </c>
      <c r="F15" s="14">
        <f>IFERROR(SUMPRODUCT(MAX((Endpoints!$A$2:$A$500=$B15)*Endpoints!$F$2:$F$500)),"")</f>
        <v/>
      </c>
      <c r="G15" s="6" t="inlineStr">
        <is>
          <t>Yes</t>
        </is>
      </c>
      <c r="H15" s="5" t="inlineStr">
        <is>
          <t>DONE 2026-10-07: all 5 calls are on the new item-analysis-summary-service (itemBreakupController) with the new {success, data} responses; tour rebuilt to cover the Filters modal, clear, the 3/6/9/12 months switch, search and the table (8 steps, 4 when no filter is applied). Tell the backend team: the previousQt6 spelling and the dropped type field on listOfItemBreakup. Next: one check against the real server.</t>
        </is>
      </c>
    </row>
    <row r="16">
      <c r="A16" s="4" t="n">
        <v>15</v>
      </c>
      <c r="B16" s="5" t="inlineStr">
        <is>
          <t>WasteCost Analysis</t>
        </is>
      </c>
      <c r="C16" s="4">
        <f>COUNTIF(Endpoints!$A:$A,$B16)</f>
        <v/>
      </c>
      <c r="D16" s="4">
        <f>COUNTIFS(Endpoints!$A:$A,$B16,Endpoints!$E:$E,"Integrated")+COUNTIFS(Endpoints!$A:$A,$B16,Endpoints!$E:$E,"Verified")</f>
        <v/>
      </c>
      <c r="E16" s="6">
        <f>IF(C16=0,"No API",IF(D16=0,"No",IF(D16=C16,"Yes","Partial")))</f>
        <v/>
      </c>
      <c r="F16" s="14">
        <f>IFERROR(SUMPRODUCT(MAX((Endpoints!$A$2:$A$500=$B16)*Endpoints!$F$2:$F$500)),"")</f>
        <v/>
      </c>
      <c r="G16" s="6" t="inlineStr">
        <is>
          <t>No</t>
        </is>
      </c>
      <c r="H16" s="5" t="inlineStr">
        <is>
          <t xml:space="preserve">ON HOLD (2026-10-08, by the backend team). </t>
        </is>
      </c>
    </row>
    <row r="17">
      <c r="A17" s="4" t="n">
        <v>16</v>
      </c>
      <c r="B17" s="5" t="inlineStr">
        <is>
          <t>User Master</t>
        </is>
      </c>
      <c r="C17" s="4">
        <f>COUNTIF(Endpoints!$A:$A,$B17)</f>
        <v/>
      </c>
      <c r="D17" s="4">
        <f>COUNTIFS(Endpoints!$A:$A,$B17,Endpoints!$E:$E,"Integrated")+COUNTIFS(Endpoints!$A:$A,$B17,Endpoints!$E:$E,"Verified")</f>
        <v/>
      </c>
      <c r="E17" s="6">
        <f>IF(C17=0,"No API",IF(D17=0,"No",IF(D17=C17,"Yes","Partial")))</f>
        <v/>
      </c>
      <c r="F17" s="14">
        <f>IFERROR(SUMPRODUCT(MAX((Endpoints!$A$2:$A$500=$B17)*Endpoints!$F$2:$F$500)),"")</f>
        <v/>
      </c>
      <c r="G17" s="6" t="inlineStr">
        <is>
          <t>Yes</t>
        </is>
      </c>
      <c r="H17" s="5" t="inlineStr">
        <is>
          <t>DONE 2026-10-08: all 5 calls use the new {success, message, data} responses (same login-credential-service and paths as the old app); a refused create / edit / status / password reset now shows the backend's own message in the dialog. Tour rebuilt to cover Refresh, Add User, search, the table, the Modify and Reset buttons and all three dialogs (Add User with its password and Create button, Modify User with Account Status and Save, Reset Password) - 16 steps, 9 when no user is listed. Tell the backend team: do not return password in the user list. Next: one check against the real server.</t>
        </is>
      </c>
    </row>
    <row r="18">
      <c r="A18" s="4" t="n">
        <v>17</v>
      </c>
      <c r="B18" s="5" t="inlineStr">
        <is>
          <t>Location Rights</t>
        </is>
      </c>
      <c r="C18" s="4">
        <f>COUNTIF(Endpoints!$A:$A,$B18)</f>
        <v/>
      </c>
      <c r="D18" s="4">
        <f>COUNTIFS(Endpoints!$A:$A,$B18,Endpoints!$E:$E,"Integrated")+COUNTIFS(Endpoints!$A:$A,$B18,Endpoints!$E:$E,"Verified")</f>
        <v/>
      </c>
      <c r="E18" s="6">
        <f>IF(C18=0,"No API",IF(D18=0,"No",IF(D18=C18,"Yes","Partial")))</f>
        <v/>
      </c>
      <c r="F18" s="14">
        <f>IFERROR(SUMPRODUCT(MAX((Endpoints!$A$2:$A$500=$B18)*Endpoints!$F$2:$F$500)),"")</f>
        <v/>
      </c>
      <c r="G18" s="6" t="inlineStr">
        <is>
          <t>Yes</t>
        </is>
      </c>
      <c r="H18" s="5" t="inlineStr">
        <is>
          <t>DONE 2026-10-08: all 3 calls use the new {success, message, data} responses (same login-credential-service and paths as the old app); failures to load the users or a user's locations are now shown on the page, and a refused save shows the backend's own message. Tour rebuilt to cover Reset, Save Rights, the user picker, Refresh, the selected count, search, select-all, the row checkboxes and Allowed / Restricted pills, and the save confirmation (11 steps, 5 when no user is listed). Tell the backend team: which name fields the location rows fill. Next: one check against the real server.</t>
        </is>
      </c>
    </row>
    <row r="19" ht="25.5" customHeight="1" s="16">
      <c r="A19" s="4" t="n">
        <v>18</v>
      </c>
      <c r="B19" s="5" t="inlineStr">
        <is>
          <t>Screen Rights</t>
        </is>
      </c>
      <c r="C19" s="4">
        <f>COUNTIF(Endpoints!$A:$A,$B19)</f>
        <v/>
      </c>
      <c r="D19" s="4">
        <f>COUNTIFS(Endpoints!$A:$A,$B19,Endpoints!$E:$E,"Integrated")+COUNTIFS(Endpoints!$A:$A,$B19,Endpoints!$E:$E,"Verified")</f>
        <v/>
      </c>
      <c r="E19" s="6">
        <f>IF(C19=0,"No API",IF(D19=0,"No",IF(D19=C19,"Yes","Partial")))</f>
        <v/>
      </c>
      <c r="F19" s="14">
        <f>IFERROR(SUMPRODUCT(MAX((Endpoints!$A$2:$A$500=$B19)*Endpoints!$F$2:$F$500)),"")</f>
        <v/>
      </c>
      <c r="G19" s="6" t="inlineStr">
        <is>
          <t>n/a</t>
        </is>
      </c>
      <c r="H19" s="5" t="inlineStr">
        <is>
          <t>New screen (the old app had none). The page is a placeholder in the sidebar until the backend provides screen-rights endpoints (load a user's rights, save).</t>
        </is>
      </c>
    </row>
    <row r="20">
      <c r="A20" s="4" t="n">
        <v>19</v>
      </c>
      <c r="B20" s="5" t="inlineStr">
        <is>
          <t>User Log</t>
        </is>
      </c>
      <c r="C20" s="4">
        <f>COUNTIF(Endpoints!$A:$A,$B20)</f>
        <v/>
      </c>
      <c r="D20" s="4">
        <f>COUNTIFS(Endpoints!$A:$A,$B20,Endpoints!$E:$E,"Integrated")+COUNTIFS(Endpoints!$A:$A,$B20,Endpoints!$E:$E,"Verified")</f>
        <v/>
      </c>
      <c r="E20" s="6">
        <f>IF(C20=0,"No API",IF(D20=0,"No",IF(D20=C20,"Yes","Partial")))</f>
        <v/>
      </c>
      <c r="F20" s="14">
        <f>IFERROR(SUMPRODUCT(MAX((Endpoints!$A$2:$A$500=$B20)*Endpoints!$F$2:$F$500)),"")</f>
        <v/>
      </c>
      <c r="G20" s="6" t="inlineStr">
        <is>
          <t>Yes</t>
        </is>
      </c>
      <c r="H20" s="5" t="inlineStr">
        <is>
          <t>DONE 2026-10-08: both calls are on the same login-credential-service paths as the old app; the log list reads the new {success, message, data} response, and a failed load is now shown on the page. The Excel export handles a file, a JSON error (its message is shown instead of saving a broken .xlsx) and a JSON file link, since its response structure is not documented. Tour rebuilt to cover Reset, Refresh, Export, the four period pickers (Day, Week, Month, Year), search and the table (12 steps). Tell the backend team: the Excel response and the day format. Next: one check against the real server.</t>
        </is>
      </c>
    </row>
    <row r="21">
      <c r="A21" s="4" t="n">
        <v>20</v>
      </c>
      <c r="B21" s="5" t="inlineStr">
        <is>
          <t>Month Closing</t>
        </is>
      </c>
      <c r="C21" s="4">
        <f>COUNTIF(Endpoints!$A:$A,$B21)</f>
        <v/>
      </c>
      <c r="D21" s="4">
        <f>COUNTIFS(Endpoints!$A:$A,$B21,Endpoints!$E:$E,"Integrated")+COUNTIFS(Endpoints!$A:$A,$B21,Endpoints!$E:$E,"Verified")</f>
        <v/>
      </c>
      <c r="E21" s="6">
        <f>IF(C21=0,"No API",IF(D21=0,"No",IF(D21=C21,"Yes","Partial")))</f>
        <v/>
      </c>
      <c r="F21" s="14">
        <f>IFERROR(SUMPRODUCT(MAX((Endpoints!$A$2:$A$500=$B21)*Endpoints!$F$2:$F$500)),"")</f>
        <v/>
      </c>
      <c r="G21" s="6" t="inlineStr">
        <is>
          <t>No</t>
        </is>
      </c>
      <c r="H21" s="5" t="inlineStr">
        <is>
          <t>ON HOLD (2026-10-08, by the backend team). NOT MIGRATED: 1 call (close the month) in both apps, but not the same endpoint. Old ELMS calls GET .../consolidated-python-report-service/pythonReportController/monthClosing through the api-gateway; the new app calls POST http://103.73.189.202:5000/pull/month-closing directly (separate host, plain http). See the Endpoints and Old vs New APIs sheets. Waiting for a decision and the new backend API. Tour not reviewed yet.</t>
        </is>
      </c>
    </row>
    <row r="22">
      <c r="A22" s="4" t="n">
        <v>21</v>
      </c>
      <c r="B22" s="5" t="inlineStr">
        <is>
          <t>General Settings</t>
        </is>
      </c>
      <c r="C22" s="4">
        <f>COUNTIF(Endpoints!$A:$A,$B22)</f>
        <v/>
      </c>
      <c r="D22" s="4">
        <f>COUNTIFS(Endpoints!$A:$A,$B22,Endpoints!$E:$E,"Integrated")+COUNTIFS(Endpoints!$A:$A,$B22,Endpoints!$E:$E,"Verified")</f>
        <v/>
      </c>
      <c r="E22" s="6">
        <f>IF(C22=0,"No API",IF(D22=0,"No",IF(D22=C22,"Yes","Partial")))</f>
        <v/>
      </c>
      <c r="F22" s="14">
        <f>IFERROR(SUMPRODUCT(MAX((Endpoints!$A$2:$A$500=$B22)*Endpoints!$F$2:$F$500)),"")</f>
        <v/>
      </c>
      <c r="G22" s="6" t="inlineStr">
        <is>
          <t>No</t>
        </is>
      </c>
      <c r="H22" s="5" t="inlineStr">
        <is>
          <t>Number-format settings are stored in the browser only. No backend endpoint exists.</t>
        </is>
      </c>
    </row>
    <row r="23" ht="25.5" customHeight="1" s="16">
      <c r="A23" s="4" t="n">
        <v>22</v>
      </c>
      <c r="B23" s="5" t="inlineStr">
        <is>
          <t>Login / Logout</t>
        </is>
      </c>
      <c r="C23" s="4">
        <f>COUNTIF(Endpoints!$A:$A,$B23)</f>
        <v/>
      </c>
      <c r="D23" s="4">
        <f>COUNTIFS(Endpoints!$A:$A,$B23,Endpoints!$E:$E,"Integrated")+COUNTIFS(Endpoints!$A:$A,$B23,Endpoints!$E:$E,"Verified")</f>
        <v/>
      </c>
      <c r="E23" s="6">
        <f>IF(C23=0,"No API",IF(D23=0,"No",IF(D23=C23,"Yes","Partial")))</f>
        <v/>
      </c>
      <c r="F23" s="14">
        <f>IFERROR(SUMPRODUCT(MAX((Endpoints!$A$2:$A$500=$B23)*Endpoints!$F$2:$F$500)),"")</f>
        <v/>
      </c>
      <c r="G23" s="6" t="inlineStr">
        <is>
          <t>n/a</t>
        </is>
      </c>
      <c r="H23" s="5" t="inlineStr">
        <is>
          <t>Not a sidebar screen. Login and logout call the server directly (no /api-gateway) - see How to use.</t>
        </is>
      </c>
    </row>
    <row r="24">
      <c r="A24" s="4" t="n">
        <v>23</v>
      </c>
      <c r="B24" s="5" t="inlineStr">
        <is>
          <t>Change Password (profile menu)</t>
        </is>
      </c>
      <c r="C24" s="4">
        <f>COUNTIF(Endpoints!$A:$A,$B24)</f>
        <v/>
      </c>
      <c r="D24" s="4">
        <f>COUNTIFS(Endpoints!$A:$A,$B24,Endpoints!$E:$E,"Integrated")+COUNTIFS(Endpoints!$A:$A,$B24,Endpoints!$E:$E,"Verified")</f>
        <v/>
      </c>
      <c r="E24" s="6">
        <f>IF(C24=0,"No API",IF(D24=0,"No",IF(D24=C24,"Yes","Partial")))</f>
        <v/>
      </c>
      <c r="F24" s="14">
        <f>IFERROR(SUMPRODUCT(MAX((Endpoints!$A$2:$A$500=$B24)*Endpoints!$F$2:$F$500)),"")</f>
        <v/>
      </c>
      <c r="G24" s="6" t="inlineStr">
        <is>
          <t>n/a</t>
        </is>
      </c>
      <c r="H24" s="5" t="inlineStr">
        <is>
          <t>Opened from the header profile menu, not the sidebar. Its one call (userPasswordUpdateByAdmin) now reads the new {success, message, data} response; same endpoint as User Master's admin reset.</t>
        </is>
      </c>
    </row>
  </sheetData>
  <conditionalFormatting sqref="E2:E24">
    <cfRule type="expression" priority="1" dxfId="7">
      <formula>$E2="Yes"</formula>
    </cfRule>
    <cfRule type="expression" priority="2" dxfId="10">
      <formula>$E2="Partial"</formula>
    </cfRule>
    <cfRule type="expression" priority="3" dxfId="6">
      <formula>$E2="No"</formula>
    </cfRule>
    <cfRule type="expression" priority="4" dxfId="5">
      <formula>$E2="No API"</formula>
    </cfRule>
  </conditionalFormatting>
  <conditionalFormatting sqref="G2:G24">
    <cfRule type="expression" priority="5" dxfId="7">
      <formula>$G2="Yes"</formula>
    </cfRule>
    <cfRule type="expression" priority="6" dxfId="6">
      <formula>$G2="No"</formula>
    </cfRule>
    <cfRule type="expression" priority="7" dxfId="5">
      <formula>$G2="n/a"</formula>
    </cfRule>
  </conditionalFormatting>
  <dataValidations count="1">
    <dataValidation sqref="G2:G24" showDropDown="0" showInputMessage="0" showErrorMessage="0" allowBlank="0" type="list">
      <formula1>"Yes,No,n/a"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1"/>
  <sheetViews>
    <sheetView workbookViewId="0">
      <pane ySplit="4" topLeftCell="A5" activePane="bottomLeft" state="frozen"/>
      <selection pane="bottomLeft" activeCell="A1" sqref="A1"/>
    </sheetView>
  </sheetViews>
  <sheetFormatPr baseColWidth="8" defaultRowHeight="15"/>
  <cols>
    <col width="22" customWidth="1" style="16" min="1" max="1"/>
    <col width="14" customWidth="1" style="16" min="2" max="2"/>
    <col width="70" customWidth="1" style="16" min="3" max="3"/>
    <col width="70" customWidth="1" style="16" min="4" max="4"/>
    <col width="34" customWidth="1" style="16" min="5" max="5"/>
    <col width="60" customWidth="1" style="16" min="6" max="6"/>
    <col width="34" customWidth="1" style="16" min="7" max="7"/>
  </cols>
  <sheetData>
    <row r="1">
      <c r="A1" s="26" t="inlineStr">
        <is>
          <t>Old ELMS APIs vs the new app - screens checked so far</t>
        </is>
      </c>
    </row>
    <row r="2">
      <c r="A2" t="inlineStr">
        <is>
          <t>One count = one call the screen makes. A call used two ways (e.g. with and without locationId, or index 0 vs 1-3) is listed as its own row but is one endpoint path.</t>
        </is>
      </c>
    </row>
    <row r="4">
      <c r="A4" s="27" t="inlineStr">
        <is>
          <t>Screen</t>
        </is>
      </c>
      <c r="B4" s="27" t="inlineStr">
        <is>
          <t>API calls in old ELMS</t>
        </is>
      </c>
      <c r="C4" s="27" t="inlineStr">
        <is>
          <t>API calls used in new AGS ELMS</t>
        </is>
      </c>
      <c r="D4" s="27" t="inlineStr">
        <is>
          <t>Replaced with new backend</t>
        </is>
      </c>
      <c r="E4" s="27" t="inlineStr">
        <is>
          <t>OLD API kept (to migrate)</t>
        </is>
      </c>
      <c r="F4" s="27" t="inlineStr">
        <is>
          <t>Not added (never called)</t>
        </is>
      </c>
      <c r="G4" s="27" t="inlineStr">
        <is>
          <t>Still on old backend (pending)</t>
        </is>
      </c>
    </row>
    <row r="5">
      <c r="A5" s="28" t="inlineStr">
        <is>
          <t>Overall Summary</t>
        </is>
      </c>
      <c r="B5" s="28">
        <f>COUNTIF($A$26:$A$91,A5)</f>
        <v/>
      </c>
      <c r="C5" s="28">
        <f>COUNTIFS($A$26:$A$91,A5,$E$26:$E$91,"&lt;&gt;Not added - never called in old app")</f>
        <v/>
      </c>
      <c r="D5" s="28">
        <f>COUNTIFS($A$26:$A$91,A5,$E$26:$E$91,"Replaced with new backend")</f>
        <v/>
      </c>
      <c r="E5" s="28">
        <f>COUNTIFS($A$26:$A$91,A5,$E$26:$E$91,"OLD API kept (to migrate)")</f>
        <v/>
      </c>
      <c r="F5" s="28">
        <f>COUNTIFS($A$26:$A$91,A5,$E$26:$E$91,"Not added - never called in old app")</f>
        <v/>
      </c>
      <c r="G5" s="28">
        <f>COUNTIFS($A$26:$A$91,A5,$E$26:$E$91,"Still on old backend - waiting for new API")</f>
        <v/>
      </c>
    </row>
    <row r="6">
      <c r="A6" s="28" t="inlineStr">
        <is>
          <t>Location Summary</t>
        </is>
      </c>
      <c r="B6" s="28">
        <f>COUNTIF($A$26:$A$91,A6)</f>
        <v/>
      </c>
      <c r="C6" s="28">
        <f>COUNTIFS($A$26:$A$91,A6,$E$26:$E$91,"&lt;&gt;Not added - never called in old app")</f>
        <v/>
      </c>
      <c r="D6" s="28">
        <f>COUNTIFS($A$26:$A$91,A6,$E$26:$E$91,"Replaced with new backend")</f>
        <v/>
      </c>
      <c r="E6" s="28">
        <f>COUNTIFS($A$26:$A$91,A6,$E$26:$E$91,"OLD API kept (to migrate)")</f>
        <v/>
      </c>
      <c r="F6" s="28">
        <f>COUNTIFS($A$26:$A$91,A6,$E$26:$E$91,"Not added - never called in old app")</f>
        <v/>
      </c>
      <c r="G6" s="28">
        <f>COUNTIFS($A$26:$A$91,A6,$E$26:$E$91,"Still on old backend - waiting for new API")</f>
        <v/>
      </c>
    </row>
    <row r="7">
      <c r="A7" s="28" t="inlineStr">
        <is>
          <t>Location Details</t>
        </is>
      </c>
      <c r="B7" s="28">
        <f>COUNTIF($A$26:$A$91,A7)</f>
        <v/>
      </c>
      <c r="C7" s="28">
        <f>COUNTIFS($A$26:$A$91,A7,$E$26:$E$91,"&lt;&gt;Not added - never called in old app")</f>
        <v/>
      </c>
      <c r="D7" s="28">
        <f>COUNTIFS($A$26:$A$91,A7,$E$26:$E$91,"Replaced with new backend")</f>
        <v/>
      </c>
      <c r="E7" s="28">
        <f>COUNTIFS($A$26:$A$91,A7,$E$26:$E$91,"OLD API kept (to migrate)")</f>
        <v/>
      </c>
      <c r="F7" s="28">
        <f>COUNTIFS($A$26:$A$91,A7,$E$26:$E$91,"Not added - never called in old app")</f>
        <v/>
      </c>
      <c r="G7" s="28">
        <f>COUNTIFS($A$26:$A$91,A7,$E$26:$E$91,"Still on old backend - waiting for new API")</f>
        <v/>
      </c>
    </row>
    <row r="8">
      <c r="A8" s="28" t="inlineStr">
        <is>
          <t>Location Insight</t>
        </is>
      </c>
      <c r="B8" s="28">
        <f>COUNTIF($A$26:$A$91,A8)</f>
        <v/>
      </c>
      <c r="C8" s="28">
        <f>COUNTIFS($A$26:$A$91,A8,$E$26:$E$91,"&lt;&gt;Not added - never called in old app")</f>
        <v/>
      </c>
      <c r="D8" s="28">
        <f>COUNTIFS($A$26:$A$91,A8,$E$26:$E$91,"Replaced with new backend")</f>
        <v/>
      </c>
      <c r="E8" s="28">
        <f>COUNTIFS($A$26:$A$91,A8,$E$26:$E$91,"OLD API kept (to migrate)")</f>
        <v/>
      </c>
      <c r="F8" s="28">
        <f>COUNTIFS($A$26:$A$91,A8,$E$26:$E$91,"Not added - never called in old app")</f>
        <v/>
      </c>
      <c r="G8" s="28">
        <f>COUNTIFS($A$26:$A$91,A8,$E$26:$E$91,"Still on old backend - waiting for new API")</f>
        <v/>
      </c>
    </row>
    <row r="9">
      <c r="A9" s="28" t="inlineStr">
        <is>
          <t>Daily PRJ</t>
        </is>
      </c>
      <c r="B9" s="28">
        <f>COUNTIF($A$26:$A$91,A9)</f>
        <v/>
      </c>
      <c r="C9" s="28">
        <f>COUNTIFS($A$26:$A$91,A9,$E$26:$E$91,"&lt;&gt;Not added - never called in old app")</f>
        <v/>
      </c>
      <c r="D9" s="28">
        <f>COUNTIFS($A$26:$A$91,A9,$E$26:$E$91,"Replaced with new backend")</f>
        <v/>
      </c>
      <c r="E9" s="28">
        <f>COUNTIFS($A$26:$A$91,A9,$E$26:$E$91,"OLD API kept (to migrate)")</f>
        <v/>
      </c>
      <c r="F9" s="28">
        <f>COUNTIFS($A$26:$A$91,A9,$E$26:$E$91,"Not added - never called in old app")</f>
        <v/>
      </c>
      <c r="G9" s="28">
        <f>COUNTIFS($A$26:$A$91,A9,$E$26:$E$91,"Still on old backend - waiting for new API")</f>
        <v/>
      </c>
    </row>
    <row r="10">
      <c r="A10" s="28" t="inlineStr">
        <is>
          <t>Consumption Analysis</t>
        </is>
      </c>
      <c r="B10" s="28">
        <f>COUNTIF($A$26:$A$91,A10)</f>
        <v/>
      </c>
      <c r="C10" s="28">
        <f>COUNTIFS($A$26:$A$91,A10,$E$26:$E$91,"&lt;&gt;Not added - never called in old app")</f>
        <v/>
      </c>
      <c r="D10" s="28">
        <f>COUNTIFS($A$26:$A$91,A10,$E$26:$E$91,"Replaced with new backend")</f>
        <v/>
      </c>
      <c r="E10" s="28">
        <f>COUNTIFS($A$26:$A$91,A10,$E$26:$E$91,"OLD API kept (to migrate)")</f>
        <v/>
      </c>
      <c r="F10" s="28">
        <f>COUNTIFS($A$26:$A$91,A10,$E$26:$E$91,"Not added - never called in old app")</f>
        <v/>
      </c>
      <c r="G10" s="28">
        <f>COUNTIFS($A$26:$A$91,A10,$E$26:$E$91,"Still on old backend - waiting for new API")</f>
        <v/>
      </c>
    </row>
    <row r="11">
      <c r="A11" s="28" t="inlineStr">
        <is>
          <t>Category Analysis</t>
        </is>
      </c>
      <c r="B11" s="28">
        <f>COUNTIF($A$26:$A$91,A11)</f>
        <v/>
      </c>
      <c r="C11" s="28">
        <f>COUNTIFS($A$26:$A$91,A11,$E$26:$E$91,"&lt;&gt;Not added - never called in old app")</f>
        <v/>
      </c>
      <c r="D11" s="28">
        <f>COUNTIFS($A$26:$A$91,A11,$E$26:$E$91,"Replaced with new backend")</f>
        <v/>
      </c>
      <c r="E11" s="28">
        <f>COUNTIFS($A$26:$A$91,A11,$E$26:$E$91,"OLD API kept (to migrate)")</f>
        <v/>
      </c>
      <c r="F11" s="28">
        <f>COUNTIFS($A$26:$A$91,A11,$E$26:$E$91,"Not added - never called in old app")</f>
        <v/>
      </c>
      <c r="G11" s="28">
        <f>COUNTIFS($A$26:$A$91,A11,$E$26:$E$91,"Still on old backend - waiting for new API")</f>
        <v/>
      </c>
    </row>
    <row r="12">
      <c r="A12" s="28" t="inlineStr">
        <is>
          <t>Item Breakup</t>
        </is>
      </c>
      <c r="B12" s="28">
        <f>COUNTIF($A$26:$A$91,A12)</f>
        <v/>
      </c>
      <c r="C12" s="28">
        <f>COUNTIFS($A$26:$A$91,A12,$E$26:$E$91,"&lt;&gt;Not added - never called in old app")</f>
        <v/>
      </c>
      <c r="D12" s="28">
        <f>COUNTIFS($A$26:$A$91,A12,$E$26:$E$91,"Replaced with new backend")</f>
        <v/>
      </c>
      <c r="E12" s="28">
        <f>COUNTIFS($A$26:$A$91,A12,$E$26:$E$91,"OLD API kept (to migrate)")</f>
        <v/>
      </c>
      <c r="F12" s="28">
        <f>COUNTIFS($A$26:$A$91,A12,$E$26:$E$91,"Not added - never called in old app")</f>
        <v/>
      </c>
      <c r="G12" s="28">
        <f>COUNTIFS($A$26:$A$91,A12,$E$26:$E$91,"Still on old backend - waiting for new API")</f>
        <v/>
      </c>
    </row>
    <row r="13">
      <c r="A13" s="28" t="inlineStr">
        <is>
          <t>Report</t>
        </is>
      </c>
      <c r="B13" s="28">
        <f>COUNTIF($A$26:$A$91,A13)</f>
        <v/>
      </c>
      <c r="C13" s="28">
        <f>COUNTIFS($A$26:$A$91,A13,$E$26:$E$91,"&lt;&gt;Not added - never called in old app")</f>
        <v/>
      </c>
      <c r="D13" s="28">
        <f>COUNTIFS($A$26:$A$91,A13,$E$26:$E$91,"Replaced with new backend")</f>
        <v/>
      </c>
      <c r="E13" s="28">
        <f>COUNTIFS($A$26:$A$91,A13,$E$26:$E$91,"OLD API kept (to migrate)")</f>
        <v/>
      </c>
      <c r="F13" s="28">
        <f>COUNTIFS($A$26:$A$91,A13,$E$26:$E$91,"Not added - never called in old app")</f>
        <v/>
      </c>
      <c r="G13" s="28">
        <f>COUNTIFS($A$26:$A$91,A13,$E$26:$E$91,"Still on old backend - waiting for new API")</f>
        <v/>
      </c>
    </row>
    <row r="14">
      <c r="A14" s="28" t="inlineStr">
        <is>
          <t>Data Tracker Report</t>
        </is>
      </c>
      <c r="B14" s="28">
        <f>COUNTIF($A$26:$A$91,A14)</f>
        <v/>
      </c>
      <c r="C14" s="28">
        <f>COUNTIFS($A$26:$A$91,A14,$E$26:$E$91,"&lt;&gt;Not added - never called in old app")</f>
        <v/>
      </c>
      <c r="D14" s="28">
        <f>COUNTIFS($A$26:$A$91,A14,$E$26:$E$91,"Replaced with new backend")</f>
        <v/>
      </c>
      <c r="E14" s="28">
        <f>COUNTIFS($A$26:$A$91,A14,$E$26:$E$91,"OLD API kept (to migrate)")</f>
        <v/>
      </c>
      <c r="F14" s="28">
        <f>COUNTIFS($A$26:$A$91,A14,$E$26:$E$91,"Not added - never called in old app")</f>
        <v/>
      </c>
      <c r="G14" s="28">
        <f>COUNTIFS($A$26:$A$91,A14,$E$26:$E$91,"Still on old backend - waiting for new API")</f>
        <v/>
      </c>
    </row>
    <row r="15">
      <c r="A15" s="28" t="inlineStr">
        <is>
          <t>Stock on Hand</t>
        </is>
      </c>
      <c r="B15" s="28">
        <f>COUNTIF($A$26:$A$91,A15)</f>
        <v/>
      </c>
      <c r="C15" s="28">
        <f>COUNTIFS($A$26:$A$91,A15,$E$26:$E$91,"&lt;&gt;Not added - never called in old app")</f>
        <v/>
      </c>
      <c r="D15" s="28">
        <f>COUNTIFS($A$26:$A$91,A15,$E$26:$E$91,"Replaced with new backend")</f>
        <v/>
      </c>
      <c r="E15" s="28">
        <f>COUNTIFS($A$26:$A$91,A15,$E$26:$E$91,"OLD API kept (to migrate)")</f>
        <v/>
      </c>
      <c r="F15" s="28">
        <f>COUNTIFS($A$26:$A$91,A15,$E$26:$E$91,"Not added - never called in old app")</f>
        <v/>
      </c>
      <c r="G15" s="28">
        <f>COUNTIFS($A$26:$A$91,A15,$E$26:$E$91,"Still on old backend - waiting for new API")</f>
        <v/>
      </c>
    </row>
    <row r="16">
      <c r="A16" s="28" t="inlineStr">
        <is>
          <t>Target PRJ</t>
        </is>
      </c>
      <c r="B16" s="28">
        <f>COUNTIF($A$26:$A$91,A16)</f>
        <v/>
      </c>
      <c r="C16" s="28">
        <f>COUNTIFS($A$26:$A$91,A16,$E$26:$E$91,"&lt;&gt;Not added - never called in old app")</f>
        <v/>
      </c>
      <c r="D16" s="28">
        <f>COUNTIFS($A$26:$A$91,A16,$E$26:$E$91,"Replaced with new backend")</f>
        <v/>
      </c>
      <c r="E16" s="28">
        <f>COUNTIFS($A$26:$A$91,A16,$E$26:$E$91,"OLD API kept (to migrate)")</f>
        <v/>
      </c>
      <c r="F16" s="28">
        <f>COUNTIFS($A$26:$A$91,A16,$E$26:$E$91,"Not added - never called in old app")</f>
        <v/>
      </c>
      <c r="G16" s="28">
        <f>COUNTIFS($A$26:$A$91,A16,$E$26:$E$91,"Still on old backend - waiting for new API")</f>
        <v/>
      </c>
    </row>
    <row r="17">
      <c r="A17" s="28" t="inlineStr">
        <is>
          <t>Productivity</t>
        </is>
      </c>
      <c r="B17" s="28">
        <f>COUNTIF($A$26:$A$91,A17)</f>
        <v/>
      </c>
      <c r="C17" s="28">
        <f>COUNTIFS($A$26:$A$91,A17,$E$26:$E$91,"&lt;&gt;Not added - never called in old app")</f>
        <v/>
      </c>
      <c r="D17" s="28">
        <f>COUNTIFS($A$26:$A$91,A17,$E$26:$E$91,"Replaced with new backend")</f>
        <v/>
      </c>
      <c r="E17" s="28">
        <f>COUNTIFS($A$26:$A$91,A17,$E$26:$E$91,"OLD API kept (to migrate)")</f>
        <v/>
      </c>
      <c r="F17" s="28">
        <f>COUNTIFS($A$26:$A$91,A17,$E$26:$E$91,"Not added - never called in old app")</f>
        <v/>
      </c>
      <c r="G17" s="28">
        <f>COUNTIFS($A$26:$A$91,A17,$E$26:$E$91,"Still on old backend - waiting for new API")</f>
        <v/>
      </c>
    </row>
    <row r="18">
      <c r="A18" s="28" t="inlineStr">
        <is>
          <t>User Master</t>
        </is>
      </c>
      <c r="B18" s="28">
        <f>COUNTIF($A$26:$A$91,A18)</f>
        <v/>
      </c>
      <c r="C18" s="28">
        <f>COUNTIFS($A$26:$A$91,A18,$E$26:$E$91,"&lt;&gt;Not added - never called in old app")</f>
        <v/>
      </c>
      <c r="D18" s="28">
        <f>COUNTIFS($A$26:$A$91,A18,$E$26:$E$91,"Replaced with new backend")</f>
        <v/>
      </c>
      <c r="E18" s="28">
        <f>COUNTIFS($A$26:$A$91,A18,$E$26:$E$91,"OLD API kept (to migrate)")</f>
        <v/>
      </c>
      <c r="F18" s="28">
        <f>COUNTIFS($A$26:$A$91,A18,$E$26:$E$91,"Not added - never called in old app")</f>
        <v/>
      </c>
      <c r="G18" s="28">
        <f>COUNTIFS($A$26:$A$91,A18,$E$26:$E$91,"Still on old backend - waiting for new API")</f>
        <v/>
      </c>
    </row>
    <row r="19">
      <c r="A19" s="28" t="inlineStr">
        <is>
          <t>Location Rights</t>
        </is>
      </c>
      <c r="B19" s="28">
        <f>COUNTIF($A$26:$A$91,A19)</f>
        <v/>
      </c>
      <c r="C19" s="28">
        <f>COUNTIFS($A$26:$A$91,A19,$E$26:$E$91,"&lt;&gt;Not added - never called in old app")</f>
        <v/>
      </c>
      <c r="D19" s="28">
        <f>COUNTIFS($A$26:$A$91,A19,$E$26:$E$91,"Replaced with new backend")</f>
        <v/>
      </c>
      <c r="E19" s="28">
        <f>COUNTIFS($A$26:$A$91,A19,$E$26:$E$91,"OLD API kept (to migrate)")</f>
        <v/>
      </c>
      <c r="F19" s="28">
        <f>COUNTIFS($A$26:$A$91,A19,$E$26:$E$91,"Not added - never called in old app")</f>
        <v/>
      </c>
      <c r="G19" s="28">
        <f>COUNTIFS($A$26:$A$91,A19,$E$26:$E$91,"Still on old backend - waiting for new API")</f>
        <v/>
      </c>
    </row>
    <row r="20">
      <c r="A20" s="28" t="inlineStr">
        <is>
          <t>User Log</t>
        </is>
      </c>
      <c r="B20" s="28">
        <f>COUNTIF($A$26:$A$91,A20)</f>
        <v/>
      </c>
      <c r="C20" s="28">
        <f>COUNTIFS($A$26:$A$91,A20,$E$26:$E$91,"&lt;&gt;Not added - never called in old app")</f>
        <v/>
      </c>
      <c r="D20" s="28">
        <f>COUNTIFS($A$26:$A$91,A20,$E$26:$E$91,"Replaced with new backend")</f>
        <v/>
      </c>
      <c r="E20" s="28">
        <f>COUNTIFS($A$26:$A$91,A20,$E$26:$E$91,"OLD API kept (to migrate)")</f>
        <v/>
      </c>
      <c r="F20" s="28">
        <f>COUNTIFS($A$26:$A$91,A20,$E$26:$E$91,"Not added - never called in old app")</f>
        <v/>
      </c>
      <c r="G20" s="28">
        <f>COUNTIFS($A$26:$A$91,A20,$E$26:$E$91,"Still on old backend - waiting for new API")</f>
        <v/>
      </c>
    </row>
    <row r="21">
      <c r="A21" s="28" t="inlineStr">
        <is>
          <t>Month Closing</t>
        </is>
      </c>
      <c r="B21" s="28">
        <f>COUNTIF($A$26:$A$91,A21)</f>
        <v/>
      </c>
      <c r="C21" s="28">
        <f>COUNTIFS($A$26:$A$91,A21,$E$26:$E$91,"&lt;&gt;Not added - never called in old app")</f>
        <v/>
      </c>
      <c r="D21" s="28">
        <f>COUNTIFS($A$26:$A$91,A21,$E$26:$E$91,"Replaced with new backend")</f>
        <v/>
      </c>
      <c r="E21" s="28">
        <f>COUNTIFS($A$26:$A$91,A21,$E$26:$E$91,"OLD API kept (to migrate)")</f>
        <v/>
      </c>
      <c r="F21" s="28">
        <f>COUNTIFS($A$26:$A$91,A21,$E$26:$E$91,"Not added - never called in old app")</f>
        <v/>
      </c>
      <c r="G21" s="28">
        <f>COUNTIFS($A$26:$A$91,A21,$E$26:$E$91,"Still on old backend - waiting for new API")</f>
        <v/>
      </c>
    </row>
    <row r="22">
      <c r="A22" s="28" t="inlineStr">
        <is>
          <t>Item Analysis</t>
        </is>
      </c>
      <c r="B22" s="28">
        <f>COUNTIF($A$26:$A$91,A22)</f>
        <v/>
      </c>
      <c r="C22" s="28">
        <f>COUNTIFS($A$26:$A$91,A22,$E$26:$E$91,"&lt;&gt;Not added - never called in old app")</f>
        <v/>
      </c>
      <c r="D22" s="28">
        <f>COUNTIFS($A$26:$A$91,A22,$E$26:$E$91,"Replaced with new backend")</f>
        <v/>
      </c>
      <c r="E22" s="28">
        <f>COUNTIFS($A$26:$A$91,A22,$E$26:$E$91,"OLD API kept (to migrate)")</f>
        <v/>
      </c>
      <c r="F22" s="28">
        <f>COUNTIFS($A$26:$A$91,A22,$E$26:$E$91,"Not added - never called in old app")</f>
        <v/>
      </c>
      <c r="G22" s="28">
        <f>COUNTIFS($A$26:$A$91,A22,$E$26:$E$91,"Still on old backend - waiting for new API")</f>
        <v/>
      </c>
    </row>
    <row r="23">
      <c r="A23" s="29" t="inlineStr">
        <is>
          <t>Total</t>
        </is>
      </c>
      <c r="B23" s="29">
        <f>SUM(B5:B22)</f>
        <v/>
      </c>
      <c r="C23" s="29">
        <f>SUM(C5:C22)</f>
        <v/>
      </c>
      <c r="D23" s="29">
        <f>SUM(D5:D22)</f>
        <v/>
      </c>
      <c r="E23" s="29">
        <f>SUM(E5:E22)</f>
        <v/>
      </c>
      <c r="F23" s="29">
        <f>SUM(F5:F22)</f>
        <v/>
      </c>
      <c r="G23" s="29">
        <f>SUM(G5:G22)</f>
        <v/>
      </c>
    </row>
    <row r="24">
      <c r="A24" s="30" t="inlineStr">
        <is>
          <t>Every old API call, one by one</t>
        </is>
      </c>
    </row>
    <row r="25">
      <c r="A25" s="27" t="inlineStr">
        <is>
          <t>Screen</t>
        </is>
      </c>
      <c r="B25" s="27" t="inlineStr">
        <is>
          <t>Method</t>
        </is>
      </c>
      <c r="C25" s="27" t="inlineStr">
        <is>
          <t>Old ELMS endpoint</t>
        </is>
      </c>
      <c r="D25" s="27" t="inlineStr">
        <is>
          <t>New endpoint</t>
        </is>
      </c>
      <c r="E25" s="27" t="inlineStr">
        <is>
          <t>Result</t>
        </is>
      </c>
      <c r="F25" s="27" t="inlineStr">
        <is>
          <t>Notes</t>
        </is>
      </c>
    </row>
    <row r="26">
      <c r="A26" s="31" t="inlineStr">
        <is>
          <t>Overall Summary</t>
        </is>
      </c>
      <c r="B26" s="31" t="inlineStr">
        <is>
          <t>GET</t>
        </is>
      </c>
      <c r="C26" s="31" t="inlineStr">
        <is>
          <t>/lms-dashboard-watch-service/lmsDashBoardController/listOfLmsDashBorard/{date}/{userType}/{userId}</t>
        </is>
      </c>
      <c r="D26" s="31" t="inlineStr">
        <is>
          <t>/overallSummary-service/lmsDashBoardController/listOfLmsDashBorard/{date}/{userType}/{userId}</t>
        </is>
      </c>
      <c r="E26" s="32" t="inlineStr">
        <is>
          <t>Replaced with new backend</t>
        </is>
      </c>
      <c r="F26" s="31" t="n"/>
    </row>
    <row r="27">
      <c r="A27" s="31" t="inlineStr">
        <is>
          <t>Overall Summary</t>
        </is>
      </c>
      <c r="B27" s="31" t="inlineStr">
        <is>
          <t>POST</t>
        </is>
      </c>
      <c r="C27" s="31" t="inlineStr">
        <is>
          <t>/lms-dashboard-watch-service/lmsDashBoardController/categoryWiseData</t>
        </is>
      </c>
      <c r="D27" s="31" t="inlineStr">
        <is>
          <t>/overallSummary-service/lmsDashBoardController/categoryWiseData</t>
        </is>
      </c>
      <c r="E27" s="32" t="inlineStr">
        <is>
          <t>Replaced with new backend</t>
        </is>
      </c>
      <c r="F27" s="31" t="n"/>
    </row>
    <row r="28">
      <c r="A28" s="31" t="inlineStr">
        <is>
          <t>Location Summary</t>
        </is>
      </c>
      <c r="B28" s="31" t="inlineStr">
        <is>
          <t>POST</t>
        </is>
      </c>
      <c r="C28" s="31" t="inlineStr">
        <is>
          <t>/location-summary-service/locationSummaryController/listOfLocationSummary</t>
        </is>
      </c>
      <c r="D28" s="31" t="inlineStr">
        <is>
          <t>/overallSummary-service/locationSummaryController/listOfLocationSummary</t>
        </is>
      </c>
      <c r="E28" s="32" t="inlineStr">
        <is>
          <t>Replaced with new backend</t>
        </is>
      </c>
      <c r="F28" s="31" t="n"/>
    </row>
    <row r="29">
      <c r="A29" s="31" t="inlineStr">
        <is>
          <t>Location Summary</t>
        </is>
      </c>
      <c r="B29" s="31" t="inlineStr">
        <is>
          <t>GET</t>
        </is>
      </c>
      <c r="C29" s="31" t="inlineStr">
        <is>
          <t>/location-summary-service/locationSummaryController/overallDropDown/{apiIndex}/{date}/{userType}/{userId}</t>
        </is>
      </c>
      <c r="D29" s="31" t="inlineStr">
        <is>
          <t>/overallSummary-service/locationSummaryController/overallDropDown/{type}/{date}/{userType}/{userId}</t>
        </is>
      </c>
      <c r="E29" s="32" t="inlineStr">
        <is>
          <t>Replaced with new backend</t>
        </is>
      </c>
      <c r="F29" s="31" t="n"/>
    </row>
    <row r="30">
      <c r="A30" s="31" t="inlineStr">
        <is>
          <t>Location Summary</t>
        </is>
      </c>
      <c r="B30" s="31" t="inlineStr">
        <is>
          <t>GET</t>
        </is>
      </c>
      <c r="C30" s="31" t="inlineStr">
        <is>
          <t>/location-summary-service/locationSummaryController/dropDownByNameBased/{apiIndex}/{category}/{date}/{userType}/{userId}</t>
        </is>
      </c>
      <c r="D30" s="31" t="inlineStr">
        <is>
          <t>/overallSummary-service/locationSummaryController/dropDownByNameBased/{type}/{typeName}/{date}/{userType}/{userId}</t>
        </is>
      </c>
      <c r="E30" s="32" t="inlineStr">
        <is>
          <t>Replaced with new backend</t>
        </is>
      </c>
      <c r="F30" s="31" t="n"/>
    </row>
    <row r="31">
      <c r="A31" s="31" t="inlineStr">
        <is>
          <t>Location Summary</t>
        </is>
      </c>
      <c r="B31" s="31" t="inlineStr">
        <is>
          <t>GET</t>
        </is>
      </c>
      <c r="C31" s="31" t="inlineStr">
        <is>
          <t>/location-summary-service/locationSummaryController/inventoryDataByLocation/{date}/{locationId}</t>
        </is>
      </c>
      <c r="D31" s="31" t="inlineStr">
        <is>
          <t>/overallSummary-service/locationSummaryController/inventoryDataByLocation/{period}/{locationId}</t>
        </is>
      </c>
      <c r="E31" s="32" t="inlineStr">
        <is>
          <t>Replaced with new backend</t>
        </is>
      </c>
      <c r="F31" s="31" t="n"/>
    </row>
    <row r="32">
      <c r="A32" s="31" t="inlineStr">
        <is>
          <t>Location Details</t>
        </is>
      </c>
      <c r="B32" s="31" t="inlineStr">
        <is>
          <t>POST</t>
        </is>
      </c>
      <c r="C32" s="31" t="inlineStr">
        <is>
          <t>/location-details-service/locationDetailsController/listOfLocationDetails</t>
        </is>
      </c>
      <c r="D32" s="31" t="inlineStr">
        <is>
          <t>/overallSummary-service/locationDetailsController/listOfLocationDetails</t>
        </is>
      </c>
      <c r="E32" s="32" t="inlineStr">
        <is>
          <t>Replaced with new backend</t>
        </is>
      </c>
      <c r="F32" s="31" t="n"/>
    </row>
    <row r="33">
      <c r="A33" s="31" t="inlineStr">
        <is>
          <t>Location Details</t>
        </is>
      </c>
      <c r="B33" s="31" t="inlineStr">
        <is>
          <t>GET</t>
        </is>
      </c>
      <c r="C33" s="31" t="inlineStr">
        <is>
          <t>/location-details-service/locationDetailsController/srcTypeDropDown/{date}/{locationId}/{userType}/{userId}</t>
        </is>
      </c>
      <c r="D33" s="31" t="inlineStr">
        <is>
          <t>/overallSummary-service/locationDetailsController/srcTypeDropDown/{period}/{locationId}/{userType}/{userId}</t>
        </is>
      </c>
      <c r="E33" s="32" t="inlineStr">
        <is>
          <t>Replaced with new backend</t>
        </is>
      </c>
      <c r="F33" s="31" t="n"/>
    </row>
    <row r="34">
      <c r="A34" s="31" t="inlineStr">
        <is>
          <t>Location Details</t>
        </is>
      </c>
      <c r="B34" s="31" t="inlineStr">
        <is>
          <t>GET</t>
        </is>
      </c>
      <c r="C34" s="31" t="inlineStr">
        <is>
          <t>/location-summary-service/locationSummaryController/inventoryData/{date}/{locationId}</t>
        </is>
      </c>
      <c r="D34" s="31" t="inlineStr">
        <is>
          <t>/overallSummary-service/locationSummaryController/inventoryData/{period}/{locationId}</t>
        </is>
      </c>
      <c r="E34" s="32" t="inlineStr">
        <is>
          <t>Replaced with new backend</t>
        </is>
      </c>
      <c r="F34" s="31" t="n"/>
    </row>
    <row r="35">
      <c r="A35" s="31" t="inlineStr">
        <is>
          <t>Location Details</t>
        </is>
      </c>
      <c r="B35" s="31" t="inlineStr">
        <is>
          <t>GET</t>
        </is>
      </c>
      <c r="C35" s="31" t="inlineStr">
        <is>
          <t>/location-details-service/locationDetailsController/overallDropDown/{apiIndex}/{date}/{userType}/{userId}</t>
        </is>
      </c>
      <c r="D35" s="31" t="inlineStr">
        <is>
          <t>/overallSummary-service/locationSummaryController/overallDropDown/... (shared location picker)</t>
        </is>
      </c>
      <c r="E35" s="32" t="inlineStr">
        <is>
          <t>Replaced with new backend</t>
        </is>
      </c>
      <c r="F35" s="31" t="inlineStr">
        <is>
          <t>The picker reuses Location Summary's dropdown calls.</t>
        </is>
      </c>
    </row>
    <row r="36">
      <c r="A36" s="31" t="inlineStr">
        <is>
          <t>Location Details</t>
        </is>
      </c>
      <c r="B36" s="31" t="inlineStr">
        <is>
          <t>GET</t>
        </is>
      </c>
      <c r="C36" s="31" t="inlineStr">
        <is>
          <t>/location-details-service/locationDetailsController/dropDownByNameBased/{apiIndex}/{category}/{date}/{userType}/{userId}</t>
        </is>
      </c>
      <c r="D36" s="31" t="inlineStr">
        <is>
          <t>/overallSummary-service/locationSummaryController/dropDownByNameBased/... (shared location picker)</t>
        </is>
      </c>
      <c r="E36" s="32" t="inlineStr">
        <is>
          <t>Replaced with new backend</t>
        </is>
      </c>
      <c r="F36" s="31" t="inlineStr">
        <is>
          <t>The picker reuses Location Summary's dropdown calls.</t>
        </is>
      </c>
    </row>
    <row r="37">
      <c r="A37" s="31" t="inlineStr">
        <is>
          <t>Location Details</t>
        </is>
      </c>
      <c r="B37" s="31" t="inlineStr">
        <is>
          <t>GET</t>
        </is>
      </c>
      <c r="C37" s="31" t="inlineStr">
        <is>
          <t>/location-summary-service/locationSummaryController/inventoryDataByLocationByDate/{date}/{locationId}/{inventoryDate}</t>
        </is>
      </c>
      <c r="D37" s="31" t="inlineStr">
        <is>
          <t>/overallSummary-service/locationSummaryController/inventoryDataByLocationByDate/{period}/{locationId}/{date}</t>
        </is>
      </c>
      <c r="E37" s="32" t="inlineStr">
        <is>
          <t>Replaced with new backend</t>
        </is>
      </c>
      <c r="F37" s="31" t="inlineStr">
        <is>
          <t>Date popup on the Inventory tab. Added after the old-API stage; now on the new backend.</t>
        </is>
      </c>
    </row>
    <row r="38">
      <c r="A38" s="31" t="inlineStr">
        <is>
          <t>Location Details</t>
        </is>
      </c>
      <c r="B38" s="31" t="inlineStr">
        <is>
          <t>GET</t>
        </is>
      </c>
      <c r="C38" s="31" t="inlineStr">
        <is>
          <t>/location-summary-service/locationSummaryController/inventoryList/{locationId}/{date}</t>
        </is>
      </c>
      <c r="D38" s="31" t="inlineStr">
        <is>
          <t>(none)</t>
        </is>
      </c>
      <c r="E38" s="33" t="inlineStr">
        <is>
          <t>Not added - never called in old app</t>
        </is>
      </c>
      <c r="F38" s="31" t="inlineStr">
        <is>
          <t>Defined in the old LmsDetails code but never called and no popup used it (dead code).</t>
        </is>
      </c>
    </row>
    <row r="39">
      <c r="A39" s="31" t="inlineStr">
        <is>
          <t>Location Insight</t>
        </is>
      </c>
      <c r="B39" s="31" t="inlineStr">
        <is>
          <t>POST</t>
        </is>
      </c>
      <c r="C39" s="31" t="inlineStr">
        <is>
          <t>/location-insight-service/locationInsightController/listOfLocationInsight</t>
        </is>
      </c>
      <c r="D39" s="31" t="inlineStr">
        <is>
          <t>/overallSummary-service/locationInsightController/listOfLocationInsight</t>
        </is>
      </c>
      <c r="E39" s="32" t="inlineStr">
        <is>
          <t>Replaced with new backend</t>
        </is>
      </c>
      <c r="F39" s="31" t="n"/>
    </row>
    <row r="40">
      <c r="A40" s="31" t="inlineStr">
        <is>
          <t>Location Insight</t>
        </is>
      </c>
      <c r="B40" s="31" t="inlineStr">
        <is>
          <t>GET</t>
        </is>
      </c>
      <c r="C40" s="31" t="inlineStr">
        <is>
          <t>/location-insight-service/locationInsightController/overallDropDown/{apiIndex}/{date}/{userType}/{userId}</t>
        </is>
      </c>
      <c r="D40" s="31" t="inlineStr">
        <is>
          <t>/overallSummary-service/locationSummaryController/overallDropDown/... (shared location picker)</t>
        </is>
      </c>
      <c r="E40" s="32" t="inlineStr">
        <is>
          <t>Replaced with new backend</t>
        </is>
      </c>
      <c r="F40" s="31" t="inlineStr">
        <is>
          <t>The picker reuses Location Summary's dropdown calls.</t>
        </is>
      </c>
    </row>
    <row r="41">
      <c r="A41" s="31" t="inlineStr">
        <is>
          <t>Location Insight</t>
        </is>
      </c>
      <c r="B41" s="31" t="inlineStr">
        <is>
          <t>GET</t>
        </is>
      </c>
      <c r="C41" s="31" t="inlineStr">
        <is>
          <t>/location-insight-service/locationInsightController/dropDownByNameBased/{apiIndex}/{category}/{date}/{userType}/{userId}</t>
        </is>
      </c>
      <c r="D41" s="31" t="inlineStr">
        <is>
          <t>/overallSummary-service/locationSummaryController/dropDownByNameBased/... (shared location picker)</t>
        </is>
      </c>
      <c r="E41" s="32" t="inlineStr">
        <is>
          <t>Replaced with new backend</t>
        </is>
      </c>
      <c r="F41" s="31" t="inlineStr">
        <is>
          <t>The picker reuses Location Summary's dropdown calls.</t>
        </is>
      </c>
    </row>
    <row r="42">
      <c r="A42" s="31" t="inlineStr">
        <is>
          <t>Daily PRJ</t>
        </is>
      </c>
      <c r="B42" s="31" t="inlineStr">
        <is>
          <t>GET</t>
        </is>
      </c>
      <c r="C42" s="31" t="inlineStr">
        <is>
          <t>/consolidated-python-report-service/pythonReportController/dailyPRJ?period&amp;userType&amp;userFk  (summary: every location's month row)</t>
        </is>
      </c>
      <c r="D42" s="31" t="inlineStr">
        <is>
          <t>/analysis-service/pythonReportController/dailyPRJ?period&amp;userType&amp;userFk</t>
        </is>
      </c>
      <c r="E42" s="32" t="inlineStr">
        <is>
          <t>Replaced with new backend</t>
        </is>
      </c>
      <c r="F42" s="31" t="inlineStr">
        <is>
          <t>Same endpoint as the other Daily PRJ row, now on analysis-service. Called without locationId for every location's month summary. Response structure unchanged.</t>
        </is>
      </c>
    </row>
    <row r="43">
      <c r="A43" s="31" t="inlineStr">
        <is>
          <t>Daily PRJ</t>
        </is>
      </c>
      <c r="B43" s="31" t="inlineStr">
        <is>
          <t>GET</t>
        </is>
      </c>
      <c r="C43" s="31" t="inlineStr">
        <is>
          <t>/consolidated-python-report-service/pythonReportController/dailyPRJ?period&amp;locationId&amp;userType&amp;userFk  (one location, day by day)</t>
        </is>
      </c>
      <c r="D43" s="31" t="inlineStr">
        <is>
          <t>/analysis-service/pythonReportController/dailyPRJ?period&amp;locationId&amp;userType&amp;userFk</t>
        </is>
      </c>
      <c r="E43" s="32" t="inlineStr">
        <is>
          <t>Replaced with new backend</t>
        </is>
      </c>
      <c r="F43" s="31" t="inlineStr">
        <is>
          <t>Same endpoint as the other Daily PRJ row, now on analysis-service. Called with locationId for one location's day-by-day detail. Response structure unchanged.</t>
        </is>
      </c>
    </row>
    <row r="44">
      <c r="A44" s="31" t="inlineStr">
        <is>
          <t>Consumption Analysis</t>
        </is>
      </c>
      <c r="B44" s="31" t="inlineStr">
        <is>
          <t>GET</t>
        </is>
      </c>
      <c r="C44" s="31" t="inlineStr">
        <is>
          <t>/item-ingredient-analysis-service/itemIngredientAnalysisController/categoryDropDown</t>
        </is>
      </c>
      <c r="D44" s="31" t="inlineStr">
        <is>
          <t>/analysis-service/itemIngredientAnalysisController/categoryDropDown</t>
        </is>
      </c>
      <c r="E44" s="32" t="inlineStr">
        <is>
          <t>Replaced with new backend</t>
        </is>
      </c>
      <c r="F44" s="31" t="inlineStr">
        <is>
          <t>Moved to analysis-service, in the {success, data} envelope.</t>
        </is>
      </c>
    </row>
    <row r="45">
      <c r="A45" s="31" t="inlineStr">
        <is>
          <t>Consumption Analysis</t>
        </is>
      </c>
      <c r="B45" s="31" t="inlineStr">
        <is>
          <t>GET</t>
        </is>
      </c>
      <c r="C45" s="31" t="inlineStr">
        <is>
          <t>/item-ingredient-analysis-service/itemIngredientAnalysisController/srcTypeDropDown/{date}/{locationId}</t>
        </is>
      </c>
      <c r="D45" s="31" t="inlineStr">
        <is>
          <t>/analysis-service/itemIngredientAnalysisController/srcTypeDropDown/{period}/{location}</t>
        </is>
      </c>
      <c r="E45" s="32" t="inlineStr">
        <is>
          <t>Replaced with new backend</t>
        </is>
      </c>
      <c r="F45" s="31" t="inlineStr">
        <is>
          <t>Moved to analysis-service, in the {success, data} envelope.</t>
        </is>
      </c>
    </row>
    <row r="46">
      <c r="A46" s="31" t="inlineStr">
        <is>
          <t>Consumption Analysis</t>
        </is>
      </c>
      <c r="B46" s="31" t="inlineStr">
        <is>
          <t>GET</t>
        </is>
      </c>
      <c r="C46" s="31" t="inlineStr">
        <is>
          <t>/location-details-service/locationDetailsController/overallDropDown/{idx}/{date}/{userType}/{userId}</t>
        </is>
      </c>
      <c r="D46" s="31" t="inlineStr">
        <is>
          <t>/analysis-service/locationDetailsController/overallDropDown/{type}/{date}/{userType}/{userId}</t>
        </is>
      </c>
      <c r="E46" s="32" t="inlineStr">
        <is>
          <t>Replaced with new backend</t>
        </is>
      </c>
      <c r="F46" s="31" t="inlineStr">
        <is>
          <t>Moved to analysis-service, in the {success, data} envelope.</t>
        </is>
      </c>
    </row>
    <row r="47">
      <c r="A47" s="31" t="inlineStr">
        <is>
          <t>Consumption Analysis</t>
        </is>
      </c>
      <c r="B47" s="31" t="inlineStr">
        <is>
          <t>GET</t>
        </is>
      </c>
      <c r="C47" s="31" t="inlineStr">
        <is>
          <t>/location-details-service/locationDetailsController/overallDropDown/0/{date}/{userType}/{userId}</t>
        </is>
      </c>
      <c r="D47" s="31" t="inlineStr">
        <is>
          <t>/analysis-service/locationDetailsController/overallDropDown/0/{date}/{userType}/{userId}</t>
        </is>
      </c>
      <c r="E47" s="32" t="inlineStr">
        <is>
          <t>Replaced with new backend</t>
        </is>
      </c>
      <c r="F47" s="31" t="inlineStr">
        <is>
          <t>Moved to analysis-service, in the {success, data} envelope.</t>
        </is>
      </c>
    </row>
    <row r="48">
      <c r="A48" s="31" t="inlineStr">
        <is>
          <t>Consumption Analysis</t>
        </is>
      </c>
      <c r="B48" s="31" t="inlineStr">
        <is>
          <t>GET</t>
        </is>
      </c>
      <c r="C48" s="31" t="inlineStr">
        <is>
          <t>/location-details-service/locationDetailsController/dropDownByNameBased/{idx}/{category}/{date}/{userType}/{userId}</t>
        </is>
      </c>
      <c r="D48" s="31" t="inlineStr">
        <is>
          <t>/analysis-service/locationDetailsController/dropDownByNameBased/{type}/{typeName}/{date}/{userType}/{userId}</t>
        </is>
      </c>
      <c r="E48" s="32" t="inlineStr">
        <is>
          <t>Replaced with new backend</t>
        </is>
      </c>
      <c r="F48" s="31" t="inlineStr">
        <is>
          <t>Moved to analysis-service, in the {success, data} envelope.</t>
        </is>
      </c>
    </row>
    <row r="49">
      <c r="A49" s="31" t="inlineStr">
        <is>
          <t>Consumption Analysis</t>
        </is>
      </c>
      <c r="B49" s="31" t="inlineStr">
        <is>
          <t>GET</t>
        </is>
      </c>
      <c r="C49" s="31" t="inlineStr">
        <is>
          <t>/location-summary-service/locationSummaryController/consumptionOverallSummary/{date}/{userType}/{userId}</t>
        </is>
      </c>
      <c r="D49" s="31" t="inlineStr">
        <is>
          <t>/analysis-service/locationSummaryController/consumptionOverallSummary/{period}/{userType}/{userId}</t>
        </is>
      </c>
      <c r="E49" s="32" t="inlineStr">
        <is>
          <t>Replaced with new backend</t>
        </is>
      </c>
      <c r="F49" s="31" t="inlineStr">
        <is>
          <t>Moved to analysis-service, in the {success, data} envelope.</t>
        </is>
      </c>
    </row>
    <row r="50">
      <c r="A50" s="31" t="inlineStr">
        <is>
          <t>Consumption Analysis</t>
        </is>
      </c>
      <c r="B50" s="31" t="inlineStr">
        <is>
          <t>POST</t>
        </is>
      </c>
      <c r="C50" s="31" t="inlineStr">
        <is>
          <t>/location-summary-service/locationSummaryController/consumptionByLocationByDate</t>
        </is>
      </c>
      <c r="D50" s="31" t="inlineStr">
        <is>
          <t>/analysis-service/locationSummaryController/consumptionByLocationByDate</t>
        </is>
      </c>
      <c r="E50" s="32" t="inlineStr">
        <is>
          <t>Replaced with new backend</t>
        </is>
      </c>
      <c r="F50" s="31" t="inlineStr">
        <is>
          <t>Response now {success, data:{summaryList, srcTypeList, perMandayList, srcTypeMasterList}}, mapped back to the three lists the screen uses.</t>
        </is>
      </c>
    </row>
    <row r="51">
      <c r="A51" s="31" t="inlineStr">
        <is>
          <t>Consumption Analysis</t>
        </is>
      </c>
      <c r="B51" s="31" t="inlineStr">
        <is>
          <t>GET</t>
        </is>
      </c>
      <c r="C51" s="31" t="inlineStr">
        <is>
          <t>/consolidated-python-report-service/pythonReportController/getConsumptionReport</t>
        </is>
      </c>
      <c r="D51" s="31" t="inlineStr">
        <is>
          <t>/analysis-service/pythonReportController/getConsumptionReport</t>
        </is>
      </c>
      <c r="E51" s="32" t="inlineStr">
        <is>
          <t>Replaced with new backend</t>
        </is>
      </c>
      <c r="F51" s="31" t="inlineStr">
        <is>
          <t>Excel download; no response structure in the swagger. The frontend handles a file, a JSON error and a JSON file link.</t>
        </is>
      </c>
    </row>
    <row r="52">
      <c r="A52" s="31" t="inlineStr">
        <is>
          <t>Category Analysis</t>
        </is>
      </c>
      <c r="B52" s="31" t="inlineStr">
        <is>
          <t>GET</t>
        </is>
      </c>
      <c r="C52" s="31" t="inlineStr">
        <is>
          <t>/category-analysis-service/categoryAnalysisController/overallDropDown/{idx}/{date}/{userType}/{userId}</t>
        </is>
      </c>
      <c r="D52" s="31" t="inlineStr">
        <is>
          <t>/item-analysis-summary-service/categoryAnalysisController/overallDropDown/{type}/{date}/{userType}/{userId}</t>
        </is>
      </c>
      <c r="E52" s="32" t="inlineStr">
        <is>
          <t>Replaced with new backend</t>
        </is>
      </c>
      <c r="F52" s="31" t="inlineStr">
        <is>
          <t>Location type to category lists (index 1-3). Same path as the next row with 0.</t>
        </is>
      </c>
    </row>
    <row r="53">
      <c r="A53" s="31" t="inlineStr">
        <is>
          <t>Category Analysis</t>
        </is>
      </c>
      <c r="B53" s="31" t="inlineStr">
        <is>
          <t>GET</t>
        </is>
      </c>
      <c r="C53" s="31" t="inlineStr">
        <is>
          <t>/category-analysis-service/categoryAnalysisController/overallDropDown/0/{date}/{userType}/{userId}</t>
        </is>
      </c>
      <c r="D53" s="31" t="inlineStr">
        <is>
          <t>/item-analysis-summary-service/categoryAnalysisController/overallDropDown/0/{date}/{userType}/{userId}</t>
        </is>
      </c>
      <c r="E53" s="32" t="inlineStr">
        <is>
          <t>Replaced with new backend</t>
        </is>
      </c>
      <c r="F53" s="31" t="inlineStr">
        <is>
          <t>All locations list (index 0) for the filter's location search.</t>
        </is>
      </c>
    </row>
    <row r="54">
      <c r="A54" s="31" t="inlineStr">
        <is>
          <t>Category Analysis</t>
        </is>
      </c>
      <c r="B54" s="31" t="inlineStr">
        <is>
          <t>GET</t>
        </is>
      </c>
      <c r="C54" s="31" t="inlineStr">
        <is>
          <t>/category-analysis-service/categoryAnalysisController/dropDownByNameBased/{idx}/{category}/{date}/{userType}/{userId}</t>
        </is>
      </c>
      <c r="D54" s="31" t="inlineStr">
        <is>
          <t>/item-analysis-summary-service/categoryAnalysisController/dropDownByNameBased/{type}/{typeName}/{date}/{userType}/{userId}</t>
        </is>
      </c>
      <c r="E54" s="32" t="inlineStr">
        <is>
          <t>Replaced with new backend</t>
        </is>
      </c>
      <c r="F54" s="31" t="inlineStr">
        <is>
          <t>Locations under a chosen category.</t>
        </is>
      </c>
    </row>
    <row r="55">
      <c r="A55" s="31" t="inlineStr">
        <is>
          <t>Category Analysis</t>
        </is>
      </c>
      <c r="B55" s="31" t="inlineStr">
        <is>
          <t>GET</t>
        </is>
      </c>
      <c r="C55" s="31" t="inlineStr">
        <is>
          <t>/category-analysis-service/categoryAnalysisController/srcTypeDropDown/{date}/{locationId}/{userType}/{userId}</t>
        </is>
      </c>
      <c r="D55" s="31" t="inlineStr">
        <is>
          <t>/item-analysis-summary-service/categoryAnalysisController/srcTypeDropDown/{period}/{locationId}/{userType}/{userId}</t>
        </is>
      </c>
      <c r="E55" s="32" t="inlineStr">
        <is>
          <t>Replaced with new backend</t>
        </is>
      </c>
      <c r="F55" s="31" t="inlineStr">
        <is>
          <t>SRC type list for the chosen location.</t>
        </is>
      </c>
    </row>
    <row r="56">
      <c r="A56" s="31" t="inlineStr">
        <is>
          <t>Category Analysis</t>
        </is>
      </c>
      <c r="B56" s="31" t="inlineStr">
        <is>
          <t>POST</t>
        </is>
      </c>
      <c r="C56" s="31" t="inlineStr">
        <is>
          <t>/category-analysis-service/categoryAnalysisController/listOfCategoryAnalysis</t>
        </is>
      </c>
      <c r="D56" s="31" t="inlineStr">
        <is>
          <t>/item-analysis-summary-service/categoryAnalysisController/listOfCategoryAnalysis</t>
        </is>
      </c>
      <c r="E56" s="32" t="inlineStr">
        <is>
          <t>Replaced with new backend</t>
        </is>
      </c>
      <c r="F56" s="31" t="inlineStr">
        <is>
          <t>Category-level data and POB for a location and month.</t>
        </is>
      </c>
    </row>
    <row r="57">
      <c r="A57" s="31" t="inlineStr">
        <is>
          <t>Category Analysis</t>
        </is>
      </c>
      <c r="B57" s="31" t="inlineStr">
        <is>
          <t>POST</t>
        </is>
      </c>
      <c r="C57" s="31" t="inlineStr">
        <is>
          <t>/item-ingredient-analysis-service/itemIngredientAnalysisController/listOfItemIngredientAnalysis</t>
        </is>
      </c>
      <c r="D57" s="31" t="inlineStr">
        <is>
          <t>/item-analysis-summary-service/itemIngredientAnalysisController/listOfItemIngredientAnalysis</t>
        </is>
      </c>
      <c r="E57" s="32" t="inlineStr">
        <is>
          <t>Replaced with new backend</t>
        </is>
      </c>
      <c r="F57" s="31" t="inlineStr">
        <is>
          <t>Items inside a clicked category. Same endpoint Item Analysis uses, with slightly different field names.</t>
        </is>
      </c>
    </row>
    <row r="58">
      <c r="A58" s="31" t="inlineStr">
        <is>
          <t>Item Breakup</t>
        </is>
      </c>
      <c r="B58" s="31" t="inlineStr">
        <is>
          <t>GET</t>
        </is>
      </c>
      <c r="C58" s="31" t="inlineStr">
        <is>
          <t>/item-breakup-service/itemBreakupController/overallDropDown/{idx}/{date}/{userType}/{userId}</t>
        </is>
      </c>
      <c r="D58" s="31" t="inlineStr">
        <is>
          <t>/item-analysis-summary-service/itemBreakupController/overallDropDown/{type}/{date}/{userType}/{userId}</t>
        </is>
      </c>
      <c r="E58" s="32" t="inlineStr">
        <is>
          <t>Replaced with new backend</t>
        </is>
      </c>
      <c r="F58" s="31" t="inlineStr">
        <is>
          <t>Location type to category lists (index 1-3). Same path as the next row with 0.</t>
        </is>
      </c>
    </row>
    <row r="59">
      <c r="A59" s="31" t="inlineStr">
        <is>
          <t>Item Breakup</t>
        </is>
      </c>
      <c r="B59" s="31" t="inlineStr">
        <is>
          <t>GET</t>
        </is>
      </c>
      <c r="C59" s="31" t="inlineStr">
        <is>
          <t>/item-breakup-service/itemBreakupController/overallDropDown/0/{date}/{userType}/{userId}</t>
        </is>
      </c>
      <c r="D59" s="31" t="inlineStr">
        <is>
          <t>/item-analysis-summary-service/itemBreakupController/overallDropDown/0/{date}/{userType}/{userId}</t>
        </is>
      </c>
      <c r="E59" s="32" t="inlineStr">
        <is>
          <t>Replaced with new backend</t>
        </is>
      </c>
      <c r="F59" s="31" t="inlineStr">
        <is>
          <t>All locations list (index 0) for the picker's location search.</t>
        </is>
      </c>
    </row>
    <row r="60">
      <c r="A60" s="31" t="inlineStr">
        <is>
          <t>Item Breakup</t>
        </is>
      </c>
      <c r="B60" s="31" t="inlineStr">
        <is>
          <t>GET</t>
        </is>
      </c>
      <c r="C60" s="31" t="inlineStr">
        <is>
          <t>/item-breakup-service/itemBreakupController/dropDownByNameBased/{idx}/{category}/{date}/{userType}/{userId}</t>
        </is>
      </c>
      <c r="D60" s="31" t="inlineStr">
        <is>
          <t>/item-analysis-summary-service/itemBreakupController/dropDownByNameBased/{type}/{typeName}/{date}/{userType}/{userId}</t>
        </is>
      </c>
      <c r="E60" s="32" t="inlineStr">
        <is>
          <t>Replaced with new backend</t>
        </is>
      </c>
      <c r="F60" s="31" t="inlineStr">
        <is>
          <t>Locations under a chosen category.</t>
        </is>
      </c>
    </row>
    <row r="61">
      <c r="A61" s="31" t="inlineStr">
        <is>
          <t>Item Breakup</t>
        </is>
      </c>
      <c r="B61" s="31" t="inlineStr">
        <is>
          <t>GET</t>
        </is>
      </c>
      <c r="C61" s="31" t="inlineStr">
        <is>
          <t>/item-breakup-service/itemBreakupController/categoryDropDown</t>
        </is>
      </c>
      <c r="D61" s="31" t="inlineStr">
        <is>
          <t>/item-analysis-summary-service/itemBreakupController/categoryDropDown</t>
        </is>
      </c>
      <c r="E61" s="32" t="inlineStr">
        <is>
          <t>Replaced with new backend</t>
        </is>
      </c>
      <c r="F61" s="31" t="inlineStr">
        <is>
          <t>Item category list for the filter.</t>
        </is>
      </c>
    </row>
    <row r="62">
      <c r="A62" s="31" t="inlineStr">
        <is>
          <t>Item Breakup</t>
        </is>
      </c>
      <c r="B62" s="31" t="inlineStr">
        <is>
          <t>POST</t>
        </is>
      </c>
      <c r="C62" s="31" t="inlineStr">
        <is>
          <t>/item-breakup-service/itemBreakupController/listOfItemBreakup</t>
        </is>
      </c>
      <c r="D62" s="31" t="inlineStr">
        <is>
          <t>/item-analysis-summary-service/itemBreakupController/listOfItemBreakup</t>
        </is>
      </c>
      <c r="E62" s="32" t="inlineStr">
        <is>
          <t>Replaced with new backend</t>
        </is>
      </c>
      <c r="F62" s="31" t="inlineStr">
        <is>
          <t>The item breakup table: current month plus the previous 11 months' quantity and cost.</t>
        </is>
      </c>
    </row>
    <row r="63">
      <c r="A63" s="31" t="inlineStr">
        <is>
          <t>Report</t>
        </is>
      </c>
      <c r="B63" s="31" t="inlineStr">
        <is>
          <t>GET</t>
        </is>
      </c>
      <c r="C63" s="31" t="inlineStr">
        <is>
          <t>/consolidated-python-report-service/pythonReportController/{reportKey}?period=YYYY-MM</t>
        </is>
      </c>
      <c r="D63" s="31" t="inlineStr">
        <is>
          <t>/consolidated-python-report-service/pythonReportController/{reportKey}?period=YYYY-MM</t>
        </is>
      </c>
      <c r="E63" s="32" t="inlineStr">
        <is>
          <t>Replaced with new backend</t>
        </is>
      </c>
      <c r="F63" s="31" t="inlineStr">
        <is>
          <t>Same path on the new backend (unchanged); the report the user picks is the last path segment (35 reports - see the 'Report types' sheet). Counted as 1 call. Response shape to be confirmed by the backend team.</t>
        </is>
      </c>
    </row>
    <row r="64">
      <c r="A64" s="31" t="inlineStr">
        <is>
          <t>Data Tracker Report</t>
        </is>
      </c>
      <c r="B64" s="31" t="inlineStr">
        <is>
          <t>GET</t>
        </is>
      </c>
      <c r="C64" s="31" t="inlineStr">
        <is>
          <t>/consolidated-python-report-service/pythonReportController/lmsDataTrackerReport?period=YYYY-MM-01</t>
        </is>
      </c>
      <c r="D64" s="31" t="inlineStr">
        <is>
          <t>/analysis-service/pythonReportController/lmsDataTrackerReport?period=YYYY-MM-01</t>
        </is>
      </c>
      <c r="E64" s="32" t="inlineStr">
        <is>
          <t>Replaced with new backend</t>
        </is>
      </c>
      <c r="F64" s="31" t="inlineStr">
        <is>
          <t>Same single call (builds the grid and returns the Excel link); now on analysis-service. Optional locationId exists on the new endpoint but is not sent. Response shape to be confirmed (swagger shows {}).</t>
        </is>
      </c>
    </row>
    <row r="65">
      <c r="A65" s="31" t="inlineStr">
        <is>
          <t>Stock on Hand</t>
        </is>
      </c>
      <c r="B65" s="31" t="inlineStr">
        <is>
          <t>GET</t>
        </is>
      </c>
      <c r="C65" s="31" t="inlineStr">
        <is>
          <t>/location-details-service/locationDetailsController/overallDropDown/{idx}/{date}/{userType}/{userId}</t>
        </is>
      </c>
      <c r="D65" s="31" t="inlineStr">
        <is>
          <t>/analysis-service/locationDetailsController/overallDropDown/{type}/{date}/{userType}/{userId}</t>
        </is>
      </c>
      <c r="E65" s="32" t="inlineStr">
        <is>
          <t>Replaced with new backend</t>
        </is>
      </c>
      <c r="F65" s="31" t="inlineStr">
        <is>
          <t>Moved to analysis-service, in the {success, data} envelope.</t>
        </is>
      </c>
    </row>
    <row r="66">
      <c r="A66" s="31" t="inlineStr">
        <is>
          <t>Stock on Hand</t>
        </is>
      </c>
      <c r="B66" s="31" t="inlineStr">
        <is>
          <t>GET</t>
        </is>
      </c>
      <c r="C66" s="31" t="inlineStr">
        <is>
          <t>/location-details-service/locationDetailsController/overallDropDown/0/{date}/{userType}/{userId}</t>
        </is>
      </c>
      <c r="D66" s="31" t="inlineStr">
        <is>
          <t>/analysis-service/locationDetailsController/overallDropDown/0/{date}/{userType}/{userId}</t>
        </is>
      </c>
      <c r="E66" s="32" t="inlineStr">
        <is>
          <t>Replaced with new backend</t>
        </is>
      </c>
      <c r="F66" s="31" t="inlineStr">
        <is>
          <t>Moved to analysis-service, in the {success, data} envelope.</t>
        </is>
      </c>
    </row>
    <row r="67">
      <c r="A67" s="31" t="inlineStr">
        <is>
          <t>Stock on Hand</t>
        </is>
      </c>
      <c r="B67" s="31" t="inlineStr">
        <is>
          <t>GET</t>
        </is>
      </c>
      <c r="C67" s="31" t="inlineStr">
        <is>
          <t>/location-details-service/locationDetailsController/dropDownByNameBased/{idx}/{category}/{date}/{userType}/{userId}</t>
        </is>
      </c>
      <c r="D67" s="31" t="inlineStr">
        <is>
          <t>/analysis-service/locationDetailsController/dropDownByNameBased/{type}/{typeName}/{date}/{userType}/{userId}</t>
        </is>
      </c>
      <c r="E67" s="32" t="inlineStr">
        <is>
          <t>Replaced with new backend</t>
        </is>
      </c>
      <c r="F67" s="31" t="inlineStr">
        <is>
          <t>Moved to analysis-service, in the {success, data} envelope.</t>
        </is>
      </c>
    </row>
    <row r="68">
      <c r="A68" s="31" t="inlineStr">
        <is>
          <t>Stock on Hand</t>
        </is>
      </c>
      <c r="B68" s="31" t="inlineStr">
        <is>
          <t>POST</t>
        </is>
      </c>
      <c r="C68" s="31" t="inlineStr">
        <is>
          <t>/location-summary-service/locationSummaryController/sohAnalysisLst</t>
        </is>
      </c>
      <c r="D68" s="31" t="inlineStr">
        <is>
          <t>/analysis-service/locationSummaryController/sohAnalysisLst</t>
        </is>
      </c>
      <c r="E68" s="32" t="inlineStr">
        <is>
          <t>Replaced with new backend</t>
        </is>
      </c>
      <c r="F68" s="31" t="inlineStr">
        <is>
          <t>Response now {success, data:{summary, sohList}}; mapped back to the item rows and the threshold.</t>
        </is>
      </c>
    </row>
    <row r="69">
      <c r="A69" s="31" t="inlineStr">
        <is>
          <t>Stock on Hand</t>
        </is>
      </c>
      <c r="B69" s="31" t="inlineStr">
        <is>
          <t>GET</t>
        </is>
      </c>
      <c r="C69" s="31" t="inlineStr">
        <is>
          <t>/consolidated-python-report-service/pythonReportController/getSohAnalysis?period&amp;userType&amp;userFk</t>
        </is>
      </c>
      <c r="D69" s="31" t="inlineStr">
        <is>
          <t>/analysis-service/pythonReportController/getSohAnalysis</t>
        </is>
      </c>
      <c r="E69" s="32" t="inlineStr">
        <is>
          <t>Replaced with new backend</t>
        </is>
      </c>
      <c r="F69" s="31" t="inlineStr">
        <is>
          <t>Excel download; swagger response is empty. The frontend handles a file, a JSON error and a JSON file link.</t>
        </is>
      </c>
    </row>
    <row r="70">
      <c r="A70" s="31" t="inlineStr">
        <is>
          <t>Stock on Hand</t>
        </is>
      </c>
      <c r="B70" s="31" t="inlineStr">
        <is>
          <t>GET</t>
        </is>
      </c>
      <c r="C70" s="31" t="inlineStr">
        <is>
          <t>/consolidated-python-report-service/pythonReportController/getSohAnalysis?period&amp;locationId&amp;userType&amp;userFk</t>
        </is>
      </c>
      <c r="D70" s="31" t="inlineStr">
        <is>
          <t>/analysis-service/pythonReportController/getSohAnalysis</t>
        </is>
      </c>
      <c r="E70" s="32" t="inlineStr">
        <is>
          <t>Replaced with new backend</t>
        </is>
      </c>
      <c r="F70" s="31" t="inlineStr">
        <is>
          <t>Excel download; swagger response is empty. The frontend handles a file, a JSON error and a JSON file link.</t>
        </is>
      </c>
    </row>
    <row r="71">
      <c r="A71" s="31" t="inlineStr">
        <is>
          <t>Target PRJ</t>
        </is>
      </c>
      <c r="B71" s="31" t="inlineStr">
        <is>
          <t>GET</t>
        </is>
      </c>
      <c r="C71" s="31" t="inlineStr">
        <is>
          <t>/location-insight-service/locationInsightController/listOfPropertyTargetPrj/{date}</t>
        </is>
      </c>
      <c r="D71" s="31" t="inlineStr">
        <is>
          <t>/overallSummary-service/locationInsightController/listOfPropertyTargetPrj/{period}</t>
        </is>
      </c>
      <c r="E71" s="32" t="inlineStr">
        <is>
          <t>Replaced with new backend</t>
        </is>
      </c>
      <c r="F71" s="31" t="inlineStr">
        <is>
          <t>Loads every location's PRJ targets for the month (new response is {success, data:[...]}).</t>
        </is>
      </c>
    </row>
    <row r="72">
      <c r="A72" s="31" t="inlineStr">
        <is>
          <t>Target PRJ</t>
        </is>
      </c>
      <c r="B72" s="31" t="inlineStr">
        <is>
          <t>POST</t>
        </is>
      </c>
      <c r="C72" s="31" t="inlineStr">
        <is>
          <t>/location-insight-service/locationInsightController/modifyPropertyTargetPrj</t>
        </is>
      </c>
      <c r="D72" s="31" t="inlineStr">
        <is>
          <t>/overallSummary-service/locationInsightController/modifyPropertyTargetPrj</t>
        </is>
      </c>
      <c r="E72" s="32" t="inlineStr">
        <is>
          <t>Replaced with new backend</t>
        </is>
      </c>
      <c r="F72" s="31" t="inlineStr">
        <is>
          <t>Saves the edited targets of one location (used by the dialog's Update button); the request now echoes the loaded fields back with the new value.</t>
        </is>
      </c>
    </row>
    <row r="73">
      <c r="A73" s="31" t="inlineStr">
        <is>
          <t>Productivity</t>
        </is>
      </c>
      <c r="B73" s="31" t="inlineStr">
        <is>
          <t>GET</t>
        </is>
      </c>
      <c r="C73" s="31" t="inlineStr">
        <is>
          <t>/location-insight-service/locationInsightController/listOfPropertyProductivity/{date}</t>
        </is>
      </c>
      <c r="D73" s="31" t="inlineStr">
        <is>
          <t>/overallSummary-service/locationInsightController/listOfPropertyProductivity/{period}</t>
        </is>
      </c>
      <c r="E73" s="32" t="inlineStr">
        <is>
          <t>Replaced with new backend</t>
        </is>
      </c>
      <c r="F73" s="31" t="inlineStr">
        <is>
          <t>Loads every location's productivity for the month (new response is {success, data:[...]}).</t>
        </is>
      </c>
    </row>
    <row r="74">
      <c r="A74" s="31" t="inlineStr">
        <is>
          <t>Productivity</t>
        </is>
      </c>
      <c r="B74" s="31" t="inlineStr">
        <is>
          <t>POST</t>
        </is>
      </c>
      <c r="C74" s="31" t="inlineStr">
        <is>
          <t>/location-insight-service/locationInsightController/modifyPropertyProductivity</t>
        </is>
      </c>
      <c r="D74" s="31" t="inlineStr">
        <is>
          <t>/overallSummary-service/locationInsightController/modifyPropertyProductivity</t>
        </is>
      </c>
      <c r="E74" s="32" t="inlineStr">
        <is>
          <t>Replaced with new backend</t>
        </is>
      </c>
      <c r="F74" s="31" t="inlineStr">
        <is>
          <t>Saves every edited productivity value in one call; each location in the request now echoes the loaded fields back with the new value.</t>
        </is>
      </c>
    </row>
    <row r="75">
      <c r="A75" s="31" t="inlineStr">
        <is>
          <t>User Master</t>
        </is>
      </c>
      <c r="B75" s="31" t="inlineStr">
        <is>
          <t>GET</t>
        </is>
      </c>
      <c r="C75" s="31" t="inlineStr">
        <is>
          <t>/login-credential-service/loginController/listOfUserMaster</t>
        </is>
      </c>
      <c r="D75" s="31" t="inlineStr">
        <is>
          <t>/login-credential-service/loginController/listOfUserMaster</t>
        </is>
      </c>
      <c r="E75" s="32" t="inlineStr">
        <is>
          <t>Replaced with new backend</t>
        </is>
      </c>
      <c r="F75" s="31" t="inlineStr">
        <is>
          <t>Same service and path as the old app; now answers in the {success, message, data} envelope. The list's password field is dropped by the frontend.</t>
        </is>
      </c>
    </row>
    <row r="76">
      <c r="A76" s="31" t="inlineStr">
        <is>
          <t>User Master</t>
        </is>
      </c>
      <c r="B76" s="31" t="inlineStr">
        <is>
          <t>POST</t>
        </is>
      </c>
      <c r="C76" s="31" t="inlineStr">
        <is>
          <t>/login-credential-service/loginController/saveUserMaster</t>
        </is>
      </c>
      <c r="D76" s="31" t="inlineStr">
        <is>
          <t>/login-credential-service/loginController/saveUserMaster</t>
        </is>
      </c>
      <c r="E76" s="32" t="inlineStr">
        <is>
          <t>Replaced with new backend</t>
        </is>
      </c>
      <c r="F76" s="31" t="inlineStr">
        <is>
          <t>Same service and path as the old app; now answers in the {success, message, data} envelope.</t>
        </is>
      </c>
    </row>
    <row r="77">
      <c r="A77" s="31" t="inlineStr">
        <is>
          <t>User Master</t>
        </is>
      </c>
      <c r="B77" s="31" t="inlineStr">
        <is>
          <t>POST</t>
        </is>
      </c>
      <c r="C77" s="31" t="inlineStr">
        <is>
          <t>/login-credential-service/loginController/modifyOfUserMaster</t>
        </is>
      </c>
      <c r="D77" s="31" t="inlineStr">
        <is>
          <t>/login-credential-service/loginController/modifyOfUserMaster</t>
        </is>
      </c>
      <c r="E77" s="32" t="inlineStr">
        <is>
          <t>Replaced with new backend</t>
        </is>
      </c>
      <c r="F77" s="31" t="inlineStr">
        <is>
          <t>Same service and path as the old app; now answers in the {success, message, data} envelope.</t>
        </is>
      </c>
    </row>
    <row r="78">
      <c r="A78" s="31" t="inlineStr">
        <is>
          <t>User Master</t>
        </is>
      </c>
      <c r="B78" s="31" t="inlineStr">
        <is>
          <t>POST</t>
        </is>
      </c>
      <c r="C78" s="31" t="inlineStr">
        <is>
          <t>/login-credential-service/loginController/statusUpdateOfUser</t>
        </is>
      </c>
      <c r="D78" s="31" t="inlineStr">
        <is>
          <t>/login-credential-service/loginController/statusUpdateOfUser</t>
        </is>
      </c>
      <c r="E78" s="32" t="inlineStr">
        <is>
          <t>Replaced with new backend</t>
        </is>
      </c>
      <c r="F78" s="31" t="inlineStr">
        <is>
          <t>Same service and path as the old app; now answers in the {success, message, data} envelope.</t>
        </is>
      </c>
    </row>
    <row r="79">
      <c r="A79" s="31" t="inlineStr">
        <is>
          <t>User Master</t>
        </is>
      </c>
      <c r="B79" s="31" t="inlineStr">
        <is>
          <t>POST</t>
        </is>
      </c>
      <c r="C79" s="31" t="inlineStr">
        <is>
          <t>/login-credential-service/loginController/userPasswordUpdateByAdmin</t>
        </is>
      </c>
      <c r="D79" s="31" t="inlineStr">
        <is>
          <t>/login-credential-service/loginController/userPasswordUpdateByAdmin</t>
        </is>
      </c>
      <c r="E79" s="32" t="inlineStr">
        <is>
          <t>Replaced with new backend</t>
        </is>
      </c>
      <c r="F79" s="31" t="inlineStr">
        <is>
          <t>Same service and path as the old app; now answers in the {success, message, data} envelope.</t>
        </is>
      </c>
    </row>
    <row r="80">
      <c r="A80" s="31" t="inlineStr">
        <is>
          <t>Location Rights</t>
        </is>
      </c>
      <c r="B80" s="31" t="inlineStr">
        <is>
          <t>GET</t>
        </is>
      </c>
      <c r="C80" s="31" t="inlineStr">
        <is>
          <t>/login-credential-service/loginController/userDropdownByLocatinRights</t>
        </is>
      </c>
      <c r="D80" s="31" t="inlineStr">
        <is>
          <t>/login-credential-service/loginController/userDropdownByLocatinRights</t>
        </is>
      </c>
      <c r="E80" s="32" t="inlineStr">
        <is>
          <t>Replaced with new backend</t>
        </is>
      </c>
      <c r="F80" s="31" t="inlineStr">
        <is>
          <t>Same service and path as the old app; now answers in the {success, message, data} envelope.</t>
        </is>
      </c>
    </row>
    <row r="81">
      <c r="A81" s="31" t="inlineStr">
        <is>
          <t>Location Rights</t>
        </is>
      </c>
      <c r="B81" s="31" t="inlineStr">
        <is>
          <t>GET</t>
        </is>
      </c>
      <c r="C81" s="31" t="inlineStr">
        <is>
          <t>/login-credential-service/loginController/userDropdownByLocatinRights/{userPk}</t>
        </is>
      </c>
      <c r="D81" s="31" t="inlineStr">
        <is>
          <t>/login-credential-service/loginController/userDropdownByLocatinRights/{userPk}</t>
        </is>
      </c>
      <c r="E81" s="32" t="inlineStr">
        <is>
          <t>Replaced with new backend</t>
        </is>
      </c>
      <c r="F81" s="31" t="inlineStr">
        <is>
          <t>Same service and path as the old app; now answers in the {success, message, data} envelope.</t>
        </is>
      </c>
    </row>
    <row r="82">
      <c r="A82" s="31" t="inlineStr">
        <is>
          <t>Location Rights</t>
        </is>
      </c>
      <c r="B82" s="31" t="inlineStr">
        <is>
          <t>POST</t>
        </is>
      </c>
      <c r="C82" s="31" t="inlineStr">
        <is>
          <t>/login-credential-service/loginController/saveLocationRights</t>
        </is>
      </c>
      <c r="D82" s="31" t="inlineStr">
        <is>
          <t>/login-credential-service/loginController/saveLocationRights</t>
        </is>
      </c>
      <c r="E82" s="32" t="inlineStr">
        <is>
          <t>Replaced with new backend</t>
        </is>
      </c>
      <c r="F82" s="31" t="inlineStr">
        <is>
          <t>Same service and path as the old app; now answers in the {success, message, data} envelope.</t>
        </is>
      </c>
    </row>
    <row r="83">
      <c r="A83" s="31" t="inlineStr">
        <is>
          <t>User Log</t>
        </is>
      </c>
      <c r="B83" s="31" t="inlineStr">
        <is>
          <t>POST</t>
        </is>
      </c>
      <c r="C83" s="31" t="inlineStr">
        <is>
          <t>/login-credential-service/loginController/retreiveUserLog</t>
        </is>
      </c>
      <c r="D83" s="31" t="inlineStr">
        <is>
          <t>/login-credential-service/loginController/retreiveUserLog</t>
        </is>
      </c>
      <c r="E83" s="32" t="inlineStr">
        <is>
          <t>Replaced with new backend</t>
        </is>
      </c>
      <c r="F83" s="31" t="inlineStr">
        <is>
          <t>Same service and path as the old app; now answers in the {success, message, data} envelope.</t>
        </is>
      </c>
    </row>
    <row r="84">
      <c r="A84" s="31" t="inlineStr">
        <is>
          <t>User Log</t>
        </is>
      </c>
      <c r="B84" s="31" t="inlineStr">
        <is>
          <t>POST</t>
        </is>
      </c>
      <c r="C84" s="31" t="inlineStr">
        <is>
          <t>/login-credential-service/loginController/retreiveUserLogByExcel</t>
        </is>
      </c>
      <c r="D84" s="31" t="inlineStr">
        <is>
          <t>/login-credential-service/loginController/retreiveUserLogByExcel</t>
        </is>
      </c>
      <c r="E84" s="32" t="inlineStr">
        <is>
          <t>Replaced with new backend</t>
        </is>
      </c>
      <c r="F84" s="31" t="inlineStr">
        <is>
          <t>Same service and path as the old app; returns the workbook (a file). The new swagger gives no response structure; the frontend handles a file, a JSON error and a JSON file link.</t>
        </is>
      </c>
    </row>
    <row r="85">
      <c r="A85" s="31" t="inlineStr">
        <is>
          <t>Month Closing</t>
        </is>
      </c>
      <c r="B85" s="31" t="inlineStr">
        <is>
          <t>GET</t>
        </is>
      </c>
      <c r="C85" s="31" t="inlineStr">
        <is>
          <t>/consolidated-python-report-service/pythonReportController/monthClosing</t>
        </is>
      </c>
      <c r="D85" s="31" t="inlineStr">
        <is>
          <t>(none yet)</t>
        </is>
      </c>
      <c r="E85" s="34" t="inlineStr">
        <is>
          <t>Still on old backend - waiting for new API</t>
        </is>
      </c>
      <c r="F85" s="31" t="inlineStr">
        <is>
          <t>ON HOLD (2026-10-08, by the backend team). Old ELMS (current code): through the api-gateway; the answer is wrapped as {status_code, python_response:'&lt;json string&gt;', success, message} with {status, new_lms_period, eiis_period_update} inside python_response. The new app currently calls POST http://103.73.189.202:5000/pull/month-closing instead (separate host, plain http, no gateway), so it is a different endpoint and method for the same single action. Waiting for the new backend API.</t>
        </is>
      </c>
    </row>
    <row r="86">
      <c r="A86" s="31" t="inlineStr">
        <is>
          <t>Item Analysis</t>
        </is>
      </c>
      <c r="B86" s="31" t="inlineStr">
        <is>
          <t>GET</t>
        </is>
      </c>
      <c r="C86" s="31" t="inlineStr">
        <is>
          <t>/item-ingredient-analysis-service/itemIngredientAnalysisController/overallDropDown/{idx}/{date}/{userType}/{userId}</t>
        </is>
      </c>
      <c r="D86" s="31" t="inlineStr">
        <is>
          <t>/item-analysis-summary-service/itemIngredientAnalysisController/overallDropDown/{type}/{date}/{userType}/{userId}</t>
        </is>
      </c>
      <c r="E86" s="32" t="inlineStr">
        <is>
          <t>Replaced with new backend</t>
        </is>
      </c>
      <c r="F86" s="31" t="inlineStr">
        <is>
          <t>Same shape as before on the new service, in the {success, data} envelope.</t>
        </is>
      </c>
    </row>
    <row r="87">
      <c r="A87" s="31" t="inlineStr">
        <is>
          <t>Item Analysis</t>
        </is>
      </c>
      <c r="B87" s="31" t="inlineStr">
        <is>
          <t>GET</t>
        </is>
      </c>
      <c r="C87" s="31" t="inlineStr">
        <is>
          <t>/item-ingredient-analysis-service/itemIngredientAnalysisController/overallDropDown/0/{date}/{userType}/{userId}</t>
        </is>
      </c>
      <c r="D87" s="31" t="inlineStr">
        <is>
          <t>/item-analysis-summary-service/itemIngredientAnalysisController/overallDropDown/0/{date}/{userType}/{userId}</t>
        </is>
      </c>
      <c r="E87" s="32" t="inlineStr">
        <is>
          <t>Replaced with new backend</t>
        </is>
      </c>
      <c r="F87" s="31" t="inlineStr">
        <is>
          <t>Same shape as before on the new service, in the {success, data} envelope.</t>
        </is>
      </c>
    </row>
    <row r="88">
      <c r="A88" s="31" t="inlineStr">
        <is>
          <t>Item Analysis</t>
        </is>
      </c>
      <c r="B88" s="31" t="inlineStr">
        <is>
          <t>GET</t>
        </is>
      </c>
      <c r="C88" s="31" t="inlineStr">
        <is>
          <t>/item-ingredient-analysis-service/itemIngredientAnalysisController/dropDownByNameBased/{idx}/{category}/{date}/{userType}/{userId}</t>
        </is>
      </c>
      <c r="D88" s="31" t="inlineStr">
        <is>
          <t>/item-analysis-summary-service/itemIngredientAnalysisController/dropDownByNameBased/{type}/{typeName}/{date}/{userType}/{userId}</t>
        </is>
      </c>
      <c r="E88" s="32" t="inlineStr">
        <is>
          <t>Replaced with new backend</t>
        </is>
      </c>
      <c r="F88" s="31" t="inlineStr">
        <is>
          <t>Same shape as before on the new service, in the {success, data} envelope.</t>
        </is>
      </c>
    </row>
    <row r="89">
      <c r="A89" s="31" t="inlineStr">
        <is>
          <t>Item Analysis</t>
        </is>
      </c>
      <c r="B89" s="31" t="inlineStr">
        <is>
          <t>GET</t>
        </is>
      </c>
      <c r="C89" s="31" t="inlineStr">
        <is>
          <t>/item-ingredient-analysis-service/itemIngredientAnalysisController/categoryDropDown</t>
        </is>
      </c>
      <c r="D89" s="31" t="inlineStr">
        <is>
          <t>/item-analysis-summary-service/itemBreakupController/categoryDropDown</t>
        </is>
      </c>
      <c r="E89" s="32" t="inlineStr">
        <is>
          <t>Replaced with new backend</t>
        </is>
      </c>
      <c r="F89" s="31" t="inlineStr">
        <is>
          <t>Reuses Item Breakup's new categoryDropDown call.</t>
        </is>
      </c>
    </row>
    <row r="90">
      <c r="A90" s="31" t="inlineStr">
        <is>
          <t>Item Analysis</t>
        </is>
      </c>
      <c r="B90" s="31" t="inlineStr">
        <is>
          <t>GET</t>
        </is>
      </c>
      <c r="C90" s="31" t="inlineStr">
        <is>
          <t>/item-ingredient-analysis-service/itemIngredientAnalysisController/srcTypeDropDown/{date}/{locationId}</t>
        </is>
      </c>
      <c r="D90" s="31" t="inlineStr">
        <is>
          <t>/item-analysis-summary-service/categoryAnalysisController/srcTypeDropDown/{period}/{locationId}/{userType}/{userId}</t>
        </is>
      </c>
      <c r="E90" s="32" t="inlineStr">
        <is>
          <t>Replaced with new backend</t>
        </is>
      </c>
      <c r="F90" s="31" t="inlineStr">
        <is>
          <t>Reuses Category Analysis's new srcTypeDropDown call.</t>
        </is>
      </c>
    </row>
    <row r="91">
      <c r="A91" s="31" t="inlineStr">
        <is>
          <t>Item Analysis</t>
        </is>
      </c>
      <c r="B91" s="31" t="inlineStr">
        <is>
          <t>POST</t>
        </is>
      </c>
      <c r="C91" s="31" t="inlineStr">
        <is>
          <t>/item-ingredient-analysis-service/itemIngredientAnalysisController/listOfItemIngredientAnalysis</t>
        </is>
      </c>
      <c r="D91" s="31" t="inlineStr">
        <is>
          <t>/item-analysis-summary-service/itemIngredientAnalysisController/listOfItemIngredientAnalysis</t>
        </is>
      </c>
      <c r="E91" s="32" t="inlineStr">
        <is>
          <t>Replaced with new backend</t>
        </is>
      </c>
      <c r="F91" s="31" t="inlineStr">
        <is>
          <t>Now answers {success, data:{summary, itemList, categoryList}}; called on first load and again on a filter change (the same call).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2"/>
  <sheetViews>
    <sheetView workbookViewId="0">
      <pane xSplit="1" ySplit="1" topLeftCell="B34" activePane="bottomRight" state="frozen"/>
      <selection pane="topRight" activeCell="A1" sqref="A1"/>
      <selection pane="bottomLeft" activeCell="A1" sqref="A1"/>
      <selection pane="bottomRight" activeCell="B42" sqref="B42"/>
    </sheetView>
  </sheetViews>
  <sheetFormatPr baseColWidth="8" defaultRowHeight="15"/>
  <cols>
    <col width="30" customWidth="1" style="16" min="1" max="1"/>
    <col width="9" customWidth="1" style="16" min="2" max="2"/>
    <col width="80" customWidth="1" style="16" min="3" max="4"/>
    <col width="13" customWidth="1" style="16" min="5" max="5"/>
    <col width="15" customWidth="1" style="16" min="6" max="6"/>
    <col width="14" customWidth="1" style="16" min="7" max="7"/>
    <col width="80" customWidth="1" style="16" min="8" max="8"/>
    <col width="22" customWidth="1" style="16" min="9" max="9"/>
  </cols>
  <sheetData>
    <row r="1" ht="30" customHeight="1" s="16">
      <c r="A1" s="1" t="inlineStr">
        <is>
          <t>Screen</t>
        </is>
      </c>
      <c r="B1" s="1" t="inlineStr">
        <is>
          <t>Method</t>
        </is>
      </c>
      <c r="C1" s="1" t="inlineStr">
        <is>
          <t>Old endpoint</t>
        </is>
      </c>
      <c r="D1" s="1" t="inlineStr">
        <is>
          <t>New endpoint</t>
        </is>
      </c>
      <c r="E1" s="1" t="inlineStr">
        <is>
          <t>Status</t>
        </is>
      </c>
      <c r="F1" s="1" t="inlineStr">
        <is>
          <t>Date integrated</t>
        </is>
      </c>
      <c r="G1" s="1" t="inlineStr">
        <is>
          <t>Tell backend team?</t>
        </is>
      </c>
      <c r="H1" s="1" t="inlineStr">
        <is>
          <t>Notes</t>
        </is>
      </c>
      <c r="I1" s="1" t="inlineStr">
        <is>
          <t>Old API still used? (to migrate)</t>
        </is>
      </c>
    </row>
    <row r="2" s="16">
      <c r="A2" s="9" t="inlineStr">
        <is>
          <t>Overall Summary</t>
        </is>
      </c>
      <c r="B2" s="9" t="inlineStr">
        <is>
          <t>GET</t>
        </is>
      </c>
      <c r="C2" s="9" t="inlineStr">
        <is>
          <t>/lms-dashboard-watch-service/lmsDashBoardController/listOfLmsDashBorard/{date}/{userType}/{userId}</t>
        </is>
      </c>
      <c r="D2" s="9" t="inlineStr">
        <is>
          <t>/overallSummary-service/lmsDashBoardController/listOfLmsDashBorard/{date}/{userType}/{userId}</t>
        </is>
      </c>
      <c r="E2" s="9" t="inlineStr">
        <is>
          <t>Integrated</t>
        </is>
      </c>
      <c r="F2" s="15" t="n">
        <v>46301</v>
      </c>
      <c r="G2" s="10" t="n"/>
      <c r="H2" s="9" t="inlineStr">
        <is>
          <t>Response is now {success, message, data:{summary, contractList, segmentList, operManagerList}}; mapped in api.ts. Service prefix was not given by the backend - assumed overallSummary-service. Needs a live check.</t>
        </is>
      </c>
      <c r="I2" s="9" t="n"/>
    </row>
    <row r="3" s="16">
      <c r="A3" s="9" t="inlineStr">
        <is>
          <t>Overall Summary</t>
        </is>
      </c>
      <c r="B3" s="9" t="inlineStr">
        <is>
          <t>POST</t>
        </is>
      </c>
      <c r="C3" s="9" t="inlineStr">
        <is>
          <t>/lms-dashboard-watch-service/lmsDashBoardController/categoryWiseData</t>
        </is>
      </c>
      <c r="D3" s="9" t="inlineStr">
        <is>
          <t>/overallSummary-service/lmsDashBoardController/categoryWiseData</t>
        </is>
      </c>
      <c r="E3" s="9" t="inlineStr">
        <is>
          <t>Integrated</t>
        </is>
      </c>
      <c r="F3" s="15" t="n">
        <v>46301</v>
      </c>
      <c r="G3" s="10" t="n"/>
      <c r="H3" s="9" t="inlineStr">
        <is>
          <t>Body {category, month, year}. Response {success, message, data:[...]}.</t>
        </is>
      </c>
      <c r="I3" s="9" t="n"/>
    </row>
    <row r="4" s="16">
      <c r="A4" s="9" t="inlineStr">
        <is>
          <t>Location Summary</t>
        </is>
      </c>
      <c r="B4" s="9" t="inlineStr">
        <is>
          <t>POST</t>
        </is>
      </c>
      <c r="C4" s="9" t="inlineStr">
        <is>
          <t>/location-summary-service/locationSummaryController/listOfLocationSummary</t>
        </is>
      </c>
      <c r="D4" s="9" t="inlineStr">
        <is>
          <t>/overallSummary-service/locationSummaryController/listOfLocationSummary</t>
        </is>
      </c>
      <c r="E4" s="9" t="inlineStr">
        <is>
          <t>Integrated</t>
        </is>
      </c>
      <c r="F4" s="15" t="n">
        <v>46302</v>
      </c>
      <c r="G4" s="10" t="n"/>
      <c r="H4" s="9" t="inlineStr">
        <is>
          <t>Service switched to overallSummary-service. Response is now {success, message, data:{summary, locationSummaryList, monthComparisonGraphList, dailyPrjList}}; mapped back in api.ts so the five tabs are unchanged. Request userId is now a number.</t>
        </is>
      </c>
      <c r="I4" s="9" t="n"/>
    </row>
    <row r="5" s="16">
      <c r="A5" s="9" t="inlineStr">
        <is>
          <t>Location Summary</t>
        </is>
      </c>
      <c r="B5" s="9" t="inlineStr">
        <is>
          <t>GET</t>
        </is>
      </c>
      <c r="C5" s="9" t="inlineStr">
        <is>
          <t>/location-summary-service/locationSummaryController/overallDropDown/{apiIndex}/{date}/{userType}/{userId}</t>
        </is>
      </c>
      <c r="D5" s="9" t="inlineStr">
        <is>
          <t>/overallSummary-service/locationSummaryController/overallDropDown/{type}/{date}/{userType}/{userId}</t>
        </is>
      </c>
      <c r="E5" s="9" t="inlineStr">
        <is>
          <t>Integrated</t>
        </is>
      </c>
      <c r="F5" s="15" t="n">
        <v>46302</v>
      </c>
      <c r="G5" s="10" t="n"/>
      <c r="H5" s="9" t="inlineStr">
        <is>
          <t>Service switched to overallSummary-service. Response is {success, data:[...]}. A location may arrive as id/name or locationId/locationName; both are read. type 0 = all locations, 1-3 = category lists.</t>
        </is>
      </c>
      <c r="I5" s="9" t="n"/>
    </row>
    <row r="6" s="16">
      <c r="A6" s="9" t="inlineStr">
        <is>
          <t>Location Summary</t>
        </is>
      </c>
      <c r="B6" s="9" t="inlineStr">
        <is>
          <t>GET</t>
        </is>
      </c>
      <c r="C6" s="9" t="inlineStr">
        <is>
          <t>/location-summary-service/locationSummaryController/dropDownByNameBased/{apiIndex}/{category}/{date}/{userType}/{userId}</t>
        </is>
      </c>
      <c r="D6" s="9" t="inlineStr">
        <is>
          <t>/overallSummary-service/locationSummaryController/dropDownByNameBased/{type}/{typeName}/{date}/{userType}/{userId}</t>
        </is>
      </c>
      <c r="E6" s="9" t="inlineStr">
        <is>
          <t>Integrated</t>
        </is>
      </c>
      <c r="F6" s="15" t="n">
        <v>46302</v>
      </c>
      <c r="G6" s="10" t="n"/>
      <c r="H6" s="9" t="inlineStr">
        <is>
          <t>Service switched to overallSummary-service. Response is {success, data:[...]}; the category is URL-encoded.</t>
        </is>
      </c>
      <c r="I6" s="9" t="n"/>
    </row>
    <row r="7" s="16">
      <c r="A7" s="9" t="inlineStr">
        <is>
          <t>Location Summary</t>
        </is>
      </c>
      <c r="B7" s="9" t="inlineStr">
        <is>
          <t>GET</t>
        </is>
      </c>
      <c r="C7" s="9" t="inlineStr">
        <is>
          <t>/location-summary-service/locationSummaryController/inventoryDataByLocation/{date}/{locationId}</t>
        </is>
      </c>
      <c r="D7" s="9" t="inlineStr">
        <is>
          <t>/overallSummary-service/locationSummaryController/inventoryDataByLocation/{period}/{locationId}</t>
        </is>
      </c>
      <c r="E7" s="9" t="inlineStr">
        <is>
          <t>Integrated</t>
        </is>
      </c>
      <c r="F7" s="15" t="n">
        <v>46302</v>
      </c>
      <c r="G7" s="10" t="n"/>
      <c r="H7" s="9" t="inlineStr">
        <is>
          <t>Service switched to overallSummary-service. Response is {success, data:[...]}; period is the DD-MM-YYYY reporting date.</t>
        </is>
      </c>
      <c r="I7" s="9" t="n"/>
    </row>
    <row r="8" s="16">
      <c r="A8" s="9" t="inlineStr">
        <is>
          <t>Location Details</t>
        </is>
      </c>
      <c r="B8" s="9" t="inlineStr">
        <is>
          <t>POST</t>
        </is>
      </c>
      <c r="C8" s="9" t="inlineStr">
        <is>
          <t>/location-details-service/locationDetailsController/listOfLocationDetails</t>
        </is>
      </c>
      <c r="D8" s="9" t="inlineStr">
        <is>
          <t>/overallSummary-service/locationDetailsController/listOfLocationDetails</t>
        </is>
      </c>
      <c r="E8" s="9" t="inlineStr">
        <is>
          <t>Integrated</t>
        </is>
      </c>
      <c r="F8" s="15" t="n">
        <v>46302</v>
      </c>
      <c r="G8" s="10" t="inlineStr">
        <is>
          <t>Yes</t>
        </is>
      </c>
      <c r="H8" s="9" t="inlineStr">
        <is>
          <t>Service switched to overallSummary-service. Response is {success, message, data:{summary, srcDataList, consumptionDataList, splitPrjList, consumptionComparisonList}}; mapped back in api.ts so the five tabs are unchanged. Request: the old filter + yearList pair is gone (Consumption Compare now sends previousMonths / previousYears). TELL BACKEND TEAM: confirm those two lists hold only the comparison months, not the base month.</t>
        </is>
      </c>
      <c r="I8" s="9" t="n"/>
    </row>
    <row r="9" s="16">
      <c r="A9" s="9" t="inlineStr">
        <is>
          <t>Location Details</t>
        </is>
      </c>
      <c r="B9" s="9" t="inlineStr">
        <is>
          <t>GET</t>
        </is>
      </c>
      <c r="C9" s="9" t="inlineStr">
        <is>
          <t>/location-details-service/locationDetailsController/srcTypeDropDown/{date}/{locationId}/{userType}/{userId}</t>
        </is>
      </c>
      <c r="D9" s="9" t="inlineStr">
        <is>
          <t>/overallSummary-service/locationDetailsController/srcTypeDropDown/{period}/{locationId}/{userType}/{userId}</t>
        </is>
      </c>
      <c r="E9" s="9" t="inlineStr">
        <is>
          <t>Integrated</t>
        </is>
      </c>
      <c r="F9" s="15" t="n">
        <v>46302</v>
      </c>
      <c r="G9" s="10" t="n"/>
      <c r="H9" s="9" t="inlineStr">
        <is>
          <t>Service switched to overallSummary-service. Response is {success, data:[...]}; the SRC type is read from name (code / id as fallbacks).</t>
        </is>
      </c>
      <c r="I9" s="9" t="n"/>
    </row>
    <row r="10" s="16">
      <c r="A10" s="9" t="inlineStr">
        <is>
          <t>Location Details</t>
        </is>
      </c>
      <c r="B10" s="9" t="inlineStr">
        <is>
          <t>GET</t>
        </is>
      </c>
      <c r="C10" s="9" t="inlineStr">
        <is>
          <t>/location-summary-service/locationSummaryController/inventoryData/{date}/{locationId}</t>
        </is>
      </c>
      <c r="D10" s="9" t="inlineStr">
        <is>
          <t>/overallSummary-service/locationSummaryController/inventoryData/{period}/{locationId}</t>
        </is>
      </c>
      <c r="E10" s="9" t="inlineStr">
        <is>
          <t>Integrated</t>
        </is>
      </c>
      <c r="F10" s="15" t="n">
        <v>46302</v>
      </c>
      <c r="G10" s="10" t="inlineStr">
        <is>
          <t>Yes</t>
        </is>
      </c>
      <c r="H10" s="9" t="inlineStr">
        <is>
          <t>TELL BACKEND TEAM: this call is on locationSummaryController, but the other two Location Details calls are on locationDetailsController. Confirm that is intended or whether it will move. Response is {success, data:[...]} and is mapped; the Inventory tab and the DIO trend chart read it.</t>
        </is>
      </c>
      <c r="I10" s="9" t="n"/>
    </row>
    <row r="11" s="16">
      <c r="A11" s="9" t="inlineStr">
        <is>
          <t>Location Details</t>
        </is>
      </c>
      <c r="B11" s="9" t="inlineStr">
        <is>
          <t>GET</t>
        </is>
      </c>
      <c r="C11" s="9" t="inlineStr">
        <is>
          <t>/location-summary-service/locationSummaryController/inventoryDataByLocationByDate/{date}/{locationId}/{inventoryDate}</t>
        </is>
      </c>
      <c r="D11" s="9" t="inlineStr">
        <is>
          <t>/overallSummary-service/locationSummaryController/inventoryDataByLocationByDate/{period}/{locationId}/{date}</t>
        </is>
      </c>
      <c r="E11" s="9" t="inlineStr">
        <is>
          <t>Integrated</t>
        </is>
      </c>
      <c r="F11" s="15" t="n">
        <v>46302</v>
      </c>
      <c r="G11" s="10" t="n"/>
      <c r="H11" s="9" t="inlineStr">
        <is>
          <t>Migrated from the old location-summary-service (was an old API kept on purpose). Response is {success, data:[...]}; only category, itemId, itemName, packageId, closingQty and closingValue are read. Served by locationSummaryController like inventoryData. Opened by clicking a date on the Inventory tab; reuses the Location Summary inventory modal.</t>
        </is>
      </c>
      <c r="I11" s="9" t="n"/>
    </row>
    <row r="12" s="16">
      <c r="A12" s="9" t="inlineStr">
        <is>
          <t>Location Details</t>
        </is>
      </c>
      <c r="B12" s="9" t="inlineStr">
        <is>
          <t>GET</t>
        </is>
      </c>
      <c r="C12" s="9" t="inlineStr">
        <is>
          <t>/location-details-service/locationDetailsController/overallDropDown/{apiIndex}/{date}/{userType}/{userId}</t>
        </is>
      </c>
      <c r="D12" s="9" t="inlineStr">
        <is>
          <t>/overallSummary-service/locationSummaryController/overallDropDown/{type}/{date}/{userType}/{userId}  (shared location picker)</t>
        </is>
      </c>
      <c r="E12" s="9" t="inlineStr">
        <is>
          <t>Integrated</t>
        </is>
      </c>
      <c r="F12" s="15" t="n">
        <v>46302</v>
      </c>
      <c r="G12" s="10" t="n"/>
      <c r="H12" s="9" t="inlineStr">
        <is>
          <t>Same new endpoint as the Location Summary row of that name: the shared location picker (LocationPickerModal) calls Location Summary's dropdown functions, so this call already runs on the new backend.</t>
        </is>
      </c>
      <c r="I12" s="9" t="n"/>
    </row>
    <row r="13" s="16">
      <c r="A13" s="9" t="inlineStr">
        <is>
          <t>Location Details</t>
        </is>
      </c>
      <c r="B13" s="9" t="inlineStr">
        <is>
          <t>GET</t>
        </is>
      </c>
      <c r="C13" s="9" t="inlineStr">
        <is>
          <t>/location-details-service/locationDetailsController/dropDownByNameBased/{apiIndex}/{category}/{date}/{userType}/{userId}</t>
        </is>
      </c>
      <c r="D13" s="9" t="inlineStr">
        <is>
          <t>/overallSummary-service/locationSummaryController/dropDownByNameBased/{type}/{typeName}/{date}/{userType}/{userId}  (shared location picker)</t>
        </is>
      </c>
      <c r="E13" s="9" t="inlineStr">
        <is>
          <t>Integrated</t>
        </is>
      </c>
      <c r="F13" s="15" t="n">
        <v>46302</v>
      </c>
      <c r="G13" s="10" t="n"/>
      <c r="H13" s="9" t="inlineStr">
        <is>
          <t>Same new endpoint as the Location Summary row of that name: the shared location picker (LocationPickerModal) calls Location Summary's dropdown functions, so this call already runs on the new backend.</t>
        </is>
      </c>
      <c r="I13" s="9" t="n"/>
    </row>
    <row r="14" s="16">
      <c r="A14" s="9" t="inlineStr">
        <is>
          <t>Location Insight</t>
        </is>
      </c>
      <c r="B14" s="9" t="inlineStr">
        <is>
          <t>POST</t>
        </is>
      </c>
      <c r="C14" s="9" t="inlineStr">
        <is>
          <t>/location-insight-service/locationInsightController/listOfLocationInsight</t>
        </is>
      </c>
      <c r="D14" s="9" t="inlineStr">
        <is>
          <t>/overallSummary-service/locationInsightController/listOfLocationInsight</t>
        </is>
      </c>
      <c r="E14" s="9" t="inlineStr">
        <is>
          <t>Integrated</t>
        </is>
      </c>
      <c r="F14" s="15" t="n">
        <v>46302</v>
      </c>
      <c r="G14" s="10" t="inlineStr">
        <is>
          <t>Yes</t>
        </is>
      </c>
      <c r="H14" s="9" t="inlineStr">
        <is>
          <t>TELL BACKEND TEAM: response is now {success, message, data:{summary, dayWiseMandayList, dayWiseCumulativeDailyCostList, dayWiseConsumptionDataList}}; summary holds the figures and the date-keyed splitPrjList. Swagger types the three dayWise lists as string[] with no format, so they are parsed as 'DD-MM-YYYY: value' (the old app format) - please confirm. Request still sends only dateString, month, year, locationId.</t>
        </is>
      </c>
      <c r="I14" s="9" t="n"/>
    </row>
    <row r="15" s="16">
      <c r="A15" s="9" t="inlineStr">
        <is>
          <t>Location Insight</t>
        </is>
      </c>
      <c r="B15" s="9" t="inlineStr">
        <is>
          <t>GET</t>
        </is>
      </c>
      <c r="C15" s="9" t="inlineStr">
        <is>
          <t>/location-insight-service/locationInsightController/overallDropDown/{apiIndex}/{date}/{userType}/{userId}</t>
        </is>
      </c>
      <c r="D15" s="9" t="inlineStr">
        <is>
          <t>/overallSummary-service/locationSummaryController/overallDropDown/{type}/{date}/{userType}/{userId}  (shared location picker)</t>
        </is>
      </c>
      <c r="E15" s="9" t="inlineStr">
        <is>
          <t>Integrated</t>
        </is>
      </c>
      <c r="F15" s="15" t="n">
        <v>46302</v>
      </c>
      <c r="G15" s="10" t="n"/>
      <c r="H15" s="9" t="inlineStr">
        <is>
          <t>Same new endpoint as the Location Summary row of that name: the shared location picker (LocationPickerModal) calls Location Summary's dropdown functions, so this call already runs on the new backend.</t>
        </is>
      </c>
      <c r="I15" s="9" t="n"/>
    </row>
    <row r="16" s="16">
      <c r="A16" s="9" t="inlineStr">
        <is>
          <t>Location Insight</t>
        </is>
      </c>
      <c r="B16" s="9" t="inlineStr">
        <is>
          <t>GET</t>
        </is>
      </c>
      <c r="C16" s="9" t="inlineStr">
        <is>
          <t>/location-insight-service/locationInsightController/dropDownByNameBased/{apiIndex}/{category}/{date}/{userType}/{userId}</t>
        </is>
      </c>
      <c r="D16" s="9" t="inlineStr">
        <is>
          <t>/overallSummary-service/locationSummaryController/dropDownByNameBased/{type}/{typeName}/{date}/{userType}/{userId}  (shared location picker)</t>
        </is>
      </c>
      <c r="E16" s="9" t="inlineStr">
        <is>
          <t>Integrated</t>
        </is>
      </c>
      <c r="F16" s="15" t="n">
        <v>46302</v>
      </c>
      <c r="G16" s="10" t="n"/>
      <c r="H16" s="9" t="inlineStr">
        <is>
          <t>Same new endpoint as the Location Summary row of that name: the shared location picker (LocationPickerModal) calls Location Summary's dropdown functions, so this call already runs on the new backend.</t>
        </is>
      </c>
      <c r="I16" s="9" t="n"/>
    </row>
    <row r="17" s="16">
      <c r="A17" s="9" t="inlineStr">
        <is>
          <t>Daily PRJ</t>
        </is>
      </c>
      <c r="B17" s="9" t="inlineStr">
        <is>
          <t>GET</t>
        </is>
      </c>
      <c r="C17" s="9" t="inlineStr">
        <is>
          <t>/consolidated-python-report-service/pythonReportController/dailyPRJ?period&amp;userType&amp;userFk</t>
        </is>
      </c>
      <c r="D17" s="9" t="inlineStr">
        <is>
          <t>/analysis-service/pythonReportController/dailyPRJ?period&amp;userType&amp;userFk</t>
        </is>
      </c>
      <c r="E17" s="9" t="inlineStr">
        <is>
          <t>Integrated</t>
        </is>
      </c>
      <c r="F17" s="15" t="n">
        <v>46303</v>
      </c>
      <c r="G17" s="10" t="n"/>
      <c r="H17" s="9" t="inlineStr">
        <is>
          <t>Summary: every location's month row (no locationId). Moved from consolidated-python-report-service to analysis-service. Params: period (YYYY-MM-01), userFk, userType, and the optional locationId. Response structure unchanged (read bare, or inside {success, message, data}; the file link from download_url or downloadUrlPath). The swagger path was written with a double slash (analysis-service//pythonReportController); the frontend uses a single slash.</t>
        </is>
      </c>
      <c r="I17" s="9" t="n"/>
    </row>
    <row r="18" s="16">
      <c r="A18" s="9" t="inlineStr">
        <is>
          <t>Daily PRJ</t>
        </is>
      </c>
      <c r="B18" s="9" t="inlineStr">
        <is>
          <t>GET</t>
        </is>
      </c>
      <c r="C18" s="9" t="inlineStr">
        <is>
          <t>/consolidated-python-report-service/pythonReportController/dailyPRJ?period&amp;locationId&amp;userType&amp;userFk</t>
        </is>
      </c>
      <c r="D18" s="9" t="inlineStr">
        <is>
          <t>/analysis-service/pythonReportController/dailyPRJ?period&amp;locationId&amp;userType&amp;userFk</t>
        </is>
      </c>
      <c r="E18" s="9" t="inlineStr">
        <is>
          <t>Integrated</t>
        </is>
      </c>
      <c r="F18" s="15" t="n">
        <v>46303</v>
      </c>
      <c r="G18" s="10" t="n"/>
      <c r="H18" s="9" t="inlineStr">
        <is>
          <t>One location, day by day (same path as the summary row with locationId added). Moved from consolidated-python-report-service to analysis-service. Params: period (YYYY-MM-01), userFk, userType, and the optional locationId. Response structure unchanged (read bare, or inside {success, message, data}; the file link from download_url or downloadUrlPath). The swagger path was written with a double slash (analysis-service//pythonReportController); the frontend uses a single slash.</t>
        </is>
      </c>
      <c r="I18" s="9" t="n"/>
    </row>
    <row r="19" s="16">
      <c r="A19" s="9" t="inlineStr">
        <is>
          <t>Consumption Analysis</t>
        </is>
      </c>
      <c r="B19" s="9" t="inlineStr">
        <is>
          <t>GET</t>
        </is>
      </c>
      <c r="C19" s="9" t="inlineStr">
        <is>
          <t>/item-ingredient-analysis-service/itemIngredientAnalysisController/categoryDropDown</t>
        </is>
      </c>
      <c r="D19" s="9" t="inlineStr">
        <is>
          <t>/analysis-service/itemIngredientAnalysisController/categoryDropDown</t>
        </is>
      </c>
      <c r="E19" s="9" t="inlineStr">
        <is>
          <t>Integrated</t>
        </is>
      </c>
      <c r="F19" s="15" t="n">
        <v>46303</v>
      </c>
      <c r="G19" s="10" t="n"/>
      <c r="H19" s="9" t="inlineStr">
        <is>
          <t>Moved to analysis-service. Response is {success, data:[...]}; the name is read and the 'All Category' entry dropped (the screen adds its own).</t>
        </is>
      </c>
      <c r="I19" s="9" t="n"/>
    </row>
    <row r="20" s="16">
      <c r="A20" s="9" t="inlineStr">
        <is>
          <t>Consumption Analysis</t>
        </is>
      </c>
      <c r="B20" s="9" t="inlineStr">
        <is>
          <t>GET</t>
        </is>
      </c>
      <c r="C20" s="9" t="inlineStr">
        <is>
          <t>/item-ingredient-analysis-service/itemIngredientAnalysisController/srcTypeDropDown/{date}/{locationId}</t>
        </is>
      </c>
      <c r="D20" s="9" t="inlineStr">
        <is>
          <t>/analysis-service/itemIngredientAnalysisController/srcTypeDropDown/{period}/{location}</t>
        </is>
      </c>
      <c r="E20" s="9" t="inlineStr">
        <is>
          <t>Integrated</t>
        </is>
      </c>
      <c r="F20" s="15" t="n">
        <v>46303</v>
      </c>
      <c r="G20" s="10" t="n"/>
      <c r="H20" s="9" t="inlineStr">
        <is>
          <t>Moved to analysis-service. Response is {success, data:[...]}; the name is read. The new path has no userType / userId (the old one did not either).</t>
        </is>
      </c>
      <c r="I20" s="9" t="n"/>
    </row>
    <row r="21" s="16">
      <c r="A21" s="9" t="inlineStr">
        <is>
          <t>Consumption Analysis</t>
        </is>
      </c>
      <c r="B21" s="9" t="inlineStr">
        <is>
          <t>GET</t>
        </is>
      </c>
      <c r="C21" s="9" t="inlineStr">
        <is>
          <t>/location-details-service/locationDetailsController/overallDropDown/{idx}/{date}/{userType}/{userId}</t>
        </is>
      </c>
      <c r="D21" s="9" t="inlineStr">
        <is>
          <t>/analysis-service/locationDetailsController/overallDropDown/{type}/{date}/{userType}/{userId}</t>
        </is>
      </c>
      <c r="E21" s="9" t="inlineStr">
        <is>
          <t>Integrated</t>
        </is>
      </c>
      <c r="F21" s="15" t="n">
        <v>46303</v>
      </c>
      <c r="G21" s="10" t="n"/>
      <c r="H21" s="9" t="inlineStr">
        <is>
          <t>Moved to analysis-service. Response is {success, data:[...]} of the wide shared DTO; id/name (or locationId/locationName) are read. type 1-3 = the location type's category list (name only).</t>
        </is>
      </c>
      <c r="I21" s="9" t="n"/>
    </row>
    <row r="22" s="16">
      <c r="A22" s="9" t="inlineStr">
        <is>
          <t>Consumption Analysis</t>
        </is>
      </c>
      <c r="B22" s="9" t="inlineStr">
        <is>
          <t>GET</t>
        </is>
      </c>
      <c r="C22" s="9" t="inlineStr">
        <is>
          <t>/location-details-service/locationDetailsController/overallDropDown/0/{date}/{userType}/{userId}</t>
        </is>
      </c>
      <c r="D22" s="9" t="inlineStr">
        <is>
          <t>/analysis-service/locationDetailsController/overallDropDown/0/{date}/{userType}/{userId}</t>
        </is>
      </c>
      <c r="E22" s="9" t="inlineStr">
        <is>
          <t>Integrated</t>
        </is>
      </c>
      <c r="F22" s="15" t="n">
        <v>46303</v>
      </c>
      <c r="G22" s="10" t="n"/>
      <c r="H22" s="9" t="inlineStr">
        <is>
          <t>Same endpoint as the row above with type 0 = every location (the filter's location list, and the names that fill the summary table).</t>
        </is>
      </c>
      <c r="I22" s="9" t="n"/>
    </row>
    <row r="23" s="16">
      <c r="A23" s="9" t="inlineStr">
        <is>
          <t>Consumption Analysis</t>
        </is>
      </c>
      <c r="B23" s="9" t="inlineStr">
        <is>
          <t>GET</t>
        </is>
      </c>
      <c r="C23" s="9" t="inlineStr">
        <is>
          <t>/location-details-service/locationDetailsController/dropDownByNameBased/{idx}/{category}/{date}/{userType}/{userId}</t>
        </is>
      </c>
      <c r="D23" s="9" t="inlineStr">
        <is>
          <t>/analysis-service/locationDetailsController/dropDownByNameBased/{type}/{typeName}/{date}/{userType}/{userId}</t>
        </is>
      </c>
      <c r="E23" s="9" t="inlineStr">
        <is>
          <t>Integrated</t>
        </is>
      </c>
      <c r="F23" s="15" t="n">
        <v>46303</v>
      </c>
      <c r="G23" s="10" t="n"/>
      <c r="H23" s="9" t="inlineStr">
        <is>
          <t>Moved to analysis-service. Response is {success, data:[...]}; the category is URL-encoded.</t>
        </is>
      </c>
      <c r="I23" s="9" t="n"/>
    </row>
    <row r="24" s="16">
      <c r="A24" s="9" t="inlineStr">
        <is>
          <t>Consumption Analysis</t>
        </is>
      </c>
      <c r="B24" s="9" t="inlineStr">
        <is>
          <t>GET</t>
        </is>
      </c>
      <c r="C24" s="9" t="inlineStr">
        <is>
          <t>/location-summary-service/locationSummaryController/consumptionOverallSummary/{date}/{userType}/{userId}</t>
        </is>
      </c>
      <c r="D24" s="9" t="inlineStr">
        <is>
          <t>/analysis-service/locationSummaryController/consumptionOverallSummary/{period}/{userType}/{userId}</t>
        </is>
      </c>
      <c r="E24" s="9" t="inlineStr">
        <is>
          <t>Integrated</t>
        </is>
      </c>
      <c r="F24" s="15" t="n">
        <v>46303</v>
      </c>
      <c r="G24" s="10" t="n"/>
      <c r="H24" s="9" t="inlineStr">
        <is>
          <t>Moved to analysis-service. Response is {success, data:[one row per location]}; locationId, locationName, itemCount, totalQty, convertedQty and totalAmount are read.</t>
        </is>
      </c>
      <c r="I24" s="9" t="n"/>
    </row>
    <row r="25" s="16">
      <c r="A25" s="9" t="inlineStr">
        <is>
          <t>Consumption Analysis</t>
        </is>
      </c>
      <c r="B25" s="9" t="inlineStr">
        <is>
          <t>POST</t>
        </is>
      </c>
      <c r="C25" s="9" t="inlineStr">
        <is>
          <t>/location-summary-service/locationSummaryController/consumptionByLocationByDate</t>
        </is>
      </c>
      <c r="D25" s="9" t="inlineStr">
        <is>
          <t>/analysis-service/locationSummaryController/consumptionByLocationByDate</t>
        </is>
      </c>
      <c r="E25" s="9" t="inlineStr">
        <is>
          <t>Integrated</t>
        </is>
      </c>
      <c r="F25" s="15" t="n">
        <v>46303</v>
      </c>
      <c r="G25" s="10" t="inlineStr">
        <is>
          <t>Yes</t>
        </is>
      </c>
      <c r="H25" s="9" t="inlineStr">
        <is>
          <t>TELL BACKEND TEAM: moved to analysis-service; the response is now {success, data:{summaryList, srcTypeList, perMandayList, srcTypeMasterList}} instead of responseContents / responseContents2 / responseContents3 / responseContents4. summaryList = the item rows, srcTypeList = the per-source-type chart, perMandayList = the per-manday chart; srcTypeMasterList is not used by the screen. Please confirm: (1) the item rows carry no unit price, so the frontend works it out as totalAmount / totalQty - is that right? (2) in perMandayList the per-manday figures are read from dynamicPerMandayMap (falling back to dynamicSrcTypeMap) with keys like '&lt;srcType&gt;_TotalQtyPerManday' / '&lt;srcType&gt;_ConvertedQtyPerManday' - which map and keys do they arrive in? The request is unchanged (locationId, periodStr, and category / srcType when set).</t>
        </is>
      </c>
      <c r="I25" s="9" t="n"/>
    </row>
    <row r="26" s="16">
      <c r="A26" s="9" t="inlineStr">
        <is>
          <t>Consumption Analysis</t>
        </is>
      </c>
      <c r="B26" s="9" t="inlineStr">
        <is>
          <t>GET</t>
        </is>
      </c>
      <c r="C26" s="9" t="inlineStr">
        <is>
          <t>/consolidated-python-report-service/pythonReportController/getConsumptionReport</t>
        </is>
      </c>
      <c r="D26" s="9" t="inlineStr">
        <is>
          <t>/analysis-service/pythonReportController/getConsumptionReport</t>
        </is>
      </c>
      <c r="E26" s="9" t="inlineStr">
        <is>
          <t>Integrated</t>
        </is>
      </c>
      <c r="F26" s="15" t="n">
        <v>46303</v>
      </c>
      <c r="G26" s="10" t="inlineStr">
        <is>
          <t>Yes</t>
        </is>
      </c>
      <c r="H26" s="9" t="inlineStr">
        <is>
          <t>TELL BACKEND TEAM: moved to analysis-service; the swagger gives no response structure for this Excel download (query period, userFk, userType as strings, optional locationId). The old call returned JSON with a download_url. The frontend now saves a file reply, shows the message of a JSON error, and opens a JSON file link (download_url / downloadUrlPath), so any of the three works - please confirm which it is. period is the reporting date as DD-MM-YYYY.</t>
        </is>
      </c>
      <c r="I26" s="9" t="n"/>
    </row>
    <row r="27" s="16">
      <c r="A27" s="9" t="inlineStr">
        <is>
          <t>Stock on Hand</t>
        </is>
      </c>
      <c r="B27" s="9" t="inlineStr">
        <is>
          <t>GET</t>
        </is>
      </c>
      <c r="C27" s="9" t="inlineStr">
        <is>
          <t>/location-details-service/locationDetailsController/overallDropDown/{idx}/{date}/{userType}/{userId}</t>
        </is>
      </c>
      <c r="D27" s="9" t="inlineStr">
        <is>
          <t>/analysis-service/locationDetailsController/overallDropDown/{type}/{date}/{userType}/{userId}</t>
        </is>
      </c>
      <c r="E27" s="9" t="inlineStr">
        <is>
          <t>Integrated</t>
        </is>
      </c>
      <c r="F27" s="15" t="n">
        <v>46303</v>
      </c>
      <c r="G27" s="10" t="inlineStr">
        <is>
          <t>Yes</t>
        </is>
      </c>
      <c r="H27" s="9" t="inlineStr">
        <is>
          <t>Moved to analysis-service. The swagger gave this path without its controller name; locationDetailsController is assumed (same parameters as Consumption Analysis). Response is {success, data:[...]}; type 1-3 = the location type's category list.</t>
        </is>
      </c>
      <c r="I27" s="9" t="n"/>
    </row>
    <row r="28" s="16">
      <c r="A28" s="9" t="inlineStr">
        <is>
          <t>Stock on Hand</t>
        </is>
      </c>
      <c r="B28" s="9" t="inlineStr">
        <is>
          <t>GET</t>
        </is>
      </c>
      <c r="C28" s="9" t="inlineStr">
        <is>
          <t>/location-details-service/locationDetailsController/overallDropDown/0/{date}/{userType}/{userId}</t>
        </is>
      </c>
      <c r="D28" s="9" t="inlineStr">
        <is>
          <t>/analysis-service/locationDetailsController/overallDropDown/0/{date}/{userType}/{userId}</t>
        </is>
      </c>
      <c r="E28" s="9" t="inlineStr">
        <is>
          <t>Integrated</t>
        </is>
      </c>
      <c r="F28" s="15" t="n">
        <v>46303</v>
      </c>
      <c r="G28" s="10" t="inlineStr">
        <is>
          <t>Yes</t>
        </is>
      </c>
      <c r="H28" s="9" t="inlineStr">
        <is>
          <t>Same endpoint as the row above with type 0 = every location (the picker's list and the names that fill the summary table). Controller name assumed - see the row above.</t>
        </is>
      </c>
      <c r="I28" s="9" t="n"/>
    </row>
    <row r="29" s="16">
      <c r="A29" s="9" t="inlineStr">
        <is>
          <t>Stock on Hand</t>
        </is>
      </c>
      <c r="B29" s="9" t="inlineStr">
        <is>
          <t>GET</t>
        </is>
      </c>
      <c r="C29" s="9" t="inlineStr">
        <is>
          <t>/location-details-service/locationDetailsController/dropDownByNameBased/{idx}/{category}/{date}/{userType}/{userId}</t>
        </is>
      </c>
      <c r="D29" s="9" t="inlineStr">
        <is>
          <t>/analysis-service/locationDetailsController/dropDownByNameBased/{type}/{typeName}/{date}/{userType}/{userId}</t>
        </is>
      </c>
      <c r="E29" s="9" t="inlineStr">
        <is>
          <t>Integrated</t>
        </is>
      </c>
      <c r="F29" s="15" t="n">
        <v>46303</v>
      </c>
      <c r="G29" s="10" t="n"/>
      <c r="H29" s="9" t="inlineStr">
        <is>
          <t>Moved to analysis-service. Response is {success, data:[...]}; the category is URL-encoded.</t>
        </is>
      </c>
      <c r="I29" s="9" t="n"/>
    </row>
    <row r="30" s="16">
      <c r="A30" s="9" t="inlineStr">
        <is>
          <t>Stock on Hand</t>
        </is>
      </c>
      <c r="B30" s="9" t="inlineStr">
        <is>
          <t>POST</t>
        </is>
      </c>
      <c r="C30" s="9" t="inlineStr">
        <is>
          <t>/location-summary-service/locationSummaryController/sohAnalysisLst</t>
        </is>
      </c>
      <c r="D30" s="9" t="inlineStr">
        <is>
          <t>/analysis-service/locationSummaryController/sohAnalysisLst</t>
        </is>
      </c>
      <c r="E30" s="9" t="inlineStr">
        <is>
          <t>Integrated</t>
        </is>
      </c>
      <c r="F30" s="15" t="n">
        <v>46303</v>
      </c>
      <c r="G30" s="10" t="inlineStr">
        <is>
          <t>Yes</t>
        </is>
      </c>
      <c r="H30" s="9" t="inlineStr">
        <is>
          <t>TELL BACKEND TEAM: moved to analysis-service; response is now {success, data:{summary, sohList}} (was responseContents / responseContent). Items = sohList, the days-holding threshold = summary.stockGrtDays. userId is sent as a number. Still called once per location for the summary table because the bulk call does not tag rows with their location - please confirm sohList rows carry locationId when called without one.</t>
        </is>
      </c>
      <c r="I30" s="9" t="n"/>
    </row>
    <row r="31" s="16">
      <c r="A31" s="9" t="inlineStr">
        <is>
          <t>Stock on Hand</t>
        </is>
      </c>
      <c r="B31" s="9" t="inlineStr">
        <is>
          <t>GET</t>
        </is>
      </c>
      <c r="C31" s="9" t="inlineStr">
        <is>
          <t>/consolidated-python-report-service/pythonReportController/getSohAnalysis?period&amp;userType&amp;userFk</t>
        </is>
      </c>
      <c r="D31" s="9" t="inlineStr">
        <is>
          <t>/analysis-service/pythonReportController/getSohAnalysis</t>
        </is>
      </c>
      <c r="E31" s="9" t="inlineStr">
        <is>
          <t>Integrated</t>
        </is>
      </c>
      <c r="F31" s="15" t="n">
        <v>46303</v>
      </c>
      <c r="G31" s="10" t="inlineStr">
        <is>
          <t>Yes</t>
        </is>
      </c>
      <c r="H31" s="9" t="inlineStr">
        <is>
          <t>TELL BACKEND TEAM: moved to analysis-service; the swagger shows an empty response for this Excel download. The old call returned JSON with a download_url. The frontend now saves a file reply, shows the message of a JSON error, and opens a JSON file link, so any of the three works - please confirm which it is. period is YYYY-MM-DD; locationId optional.</t>
        </is>
      </c>
      <c r="I31" s="9" t="n"/>
    </row>
    <row r="32" s="16">
      <c r="A32" s="9" t="inlineStr">
        <is>
          <t>Stock on Hand</t>
        </is>
      </c>
      <c r="B32" s="9" t="inlineStr">
        <is>
          <t>GET</t>
        </is>
      </c>
      <c r="C32" s="9" t="inlineStr">
        <is>
          <t>/consolidated-python-report-service/pythonReportController/getSohAnalysis?period&amp;locationId&amp;userType&amp;userFk</t>
        </is>
      </c>
      <c r="D32" s="9" t="inlineStr">
        <is>
          <t>/analysis-service/pythonReportController/getSohAnalysis</t>
        </is>
      </c>
      <c r="E32" s="9" t="inlineStr">
        <is>
          <t>Integrated</t>
        </is>
      </c>
      <c r="F32" s="15" t="n">
        <v>46303</v>
      </c>
      <c r="G32" s="10" t="inlineStr">
        <is>
          <t>Yes</t>
        </is>
      </c>
      <c r="H32" s="9" t="inlineStr">
        <is>
          <t>TELL BACKEND TEAM: moved to analysis-service; the swagger shows an empty response for this Excel download. The old call returned JSON with a download_url. The frontend now saves a file reply, shows the message of a JSON error, and opens a JSON file link, so any of the three works - please confirm which it is. period is YYYY-MM-DD; locationId optional.</t>
        </is>
      </c>
      <c r="I32" s="9" t="n"/>
    </row>
    <row r="33" s="16">
      <c r="A33" s="9" t="inlineStr">
        <is>
          <t>Data Tracker Report</t>
        </is>
      </c>
      <c r="B33" s="9" t="inlineStr">
        <is>
          <t>GET</t>
        </is>
      </c>
      <c r="C33" s="9" t="inlineStr">
        <is>
          <t>/consolidated-python-report-service/pythonReportController/lmsDataTrackerReport</t>
        </is>
      </c>
      <c r="D33" s="9" t="inlineStr">
        <is>
          <t>/analysis-service/pythonReportController/lmsDataTrackerReport?period=YYYY-MM-01</t>
        </is>
      </c>
      <c r="E33" s="9" t="inlineStr">
        <is>
          <t>Integrated</t>
        </is>
      </c>
      <c r="F33" s="15" t="n">
        <v>46303</v>
      </c>
      <c r="G33" s="10" t="inlineStr">
        <is>
          <t>Yes</t>
        </is>
      </c>
      <c r="H33" s="9" t="inlineStr">
        <is>
          <t>TELL BACKEND TEAM: moved from consolidated-python-report-service to analysis-service. The new swagger lists period (required) and an optional locationId, and shows the response as an empty object ({}), so the shape is unconfirmed. The frontend assumes the same JSON as before (status, period, download_url, day_numbers, days, detail_sheet.data[]) - bare or inside {success, message, data} - and also accepts downloadUrlPath for the file link. It never sends locationId (the screen shows every location). Please confirm the response, ideally with a sample.</t>
        </is>
      </c>
      <c r="I33" s="9" t="n"/>
    </row>
    <row r="34" s="16">
      <c r="A34" s="9" t="inlineStr">
        <is>
          <t>Target PRJ</t>
        </is>
      </c>
      <c r="B34" s="9" t="inlineStr">
        <is>
          <t>GET</t>
        </is>
      </c>
      <c r="C34" s="9" t="inlineStr">
        <is>
          <t>/location-insight-service/locationInsightController/listOfPropertyTargetPrj/{date}</t>
        </is>
      </c>
      <c r="D34" s="9" t="inlineStr">
        <is>
          <t>/overallSummary-service/locationInsightController/listOfPropertyTargetPrj/{period}</t>
        </is>
      </c>
      <c r="E34" s="9" t="inlineStr">
        <is>
          <t>Integrated</t>
        </is>
      </c>
      <c r="F34" s="15" t="n">
        <v>46303</v>
      </c>
      <c r="G34" s="10" t="n"/>
      <c r="H34" s="9" t="inlineStr">
        <is>
          <t>Service switched to overallSummary-service. Response is {success, message, data:[locations]}, each with its targetPrjList (prjId, controllPrjId, prjStatus, period, targetValue). The old response's totalRecords and sum are not in the new one; the screen never used them. A missing target stays empty (not 0). period is the reporting date as DD-MM-YYYY.</t>
        </is>
      </c>
      <c r="I34" s="9" t="n"/>
    </row>
    <row r="35" s="16">
      <c r="A35" s="9" t="inlineStr">
        <is>
          <t>Target PRJ</t>
        </is>
      </c>
      <c r="B35" s="9" t="inlineStr">
        <is>
          <t>POST</t>
        </is>
      </c>
      <c r="C35" s="9" t="inlineStr">
        <is>
          <t>/location-insight-service/locationInsightController/modifyPropertyTargetPrj</t>
        </is>
      </c>
      <c r="D35" s="9" t="inlineStr">
        <is>
          <t>/overallSummary-service/locationInsightController/modifyPropertyTargetPrj</t>
        </is>
      </c>
      <c r="E35" s="9" t="inlineStr">
        <is>
          <t>Integrated</t>
        </is>
      </c>
      <c r="F35" s="15" t="n">
        <v>46303</v>
      </c>
      <c r="G35" s="10" t="inlineStr">
        <is>
          <t>Yes</t>
        </is>
      </c>
      <c r="H35" s="9" t="inlineStr">
        <is>
          <t>TELL BACKEND TEAM: service switched to overallSummary-service; response is {success, message, data:'string'} and success:false is shown as the save error. The new request body has more fields than the old one (locationName, propertyValue, status per location; controllPrjId, prjStatus, period per target). The frontend sends back, for each changed target, exactly what the list returned with only targetValue changed, and only the changed targets of the one location being saved. period is the reporting date as DD-MM-YYYY (the swagger just says string). Please confirm this is what the backend expects.</t>
        </is>
      </c>
      <c r="I35" s="9" t="n"/>
    </row>
    <row r="36" s="16">
      <c r="A36" s="9" t="inlineStr">
        <is>
          <t>Productivity</t>
        </is>
      </c>
      <c r="B36" s="9" t="inlineStr">
        <is>
          <t>GET</t>
        </is>
      </c>
      <c r="C36" s="9" t="inlineStr">
        <is>
          <t>/location-insight-service/locationInsightController/listOfPropertyProductivity/{date}</t>
        </is>
      </c>
      <c r="D36" s="9" t="inlineStr">
        <is>
          <t>/overallSummary-service/locationInsightController/listOfPropertyProductivity/{period}</t>
        </is>
      </c>
      <c r="E36" s="9" t="inlineStr">
        <is>
          <t>Integrated</t>
        </is>
      </c>
      <c r="F36" s="15" t="n">
        <v>46303</v>
      </c>
      <c r="G36" s="10" t="n"/>
      <c r="H36" s="9" t="inlineStr">
        <is>
          <t>Service switched to overallSummary-service. Response is {success, message, data:[rows]}, each row with locationId, locationName, propertyValue, status, period and productivity. The old response's totalRecords is not in the new one; the screen never used it. A missing productivity stays empty (not 0). period is the reporting date as DD-MM-YYYY.</t>
        </is>
      </c>
      <c r="I36" s="9" t="n"/>
    </row>
    <row r="37" s="16">
      <c r="A37" s="9" t="inlineStr">
        <is>
          <t>Productivity</t>
        </is>
      </c>
      <c r="B37" s="9" t="inlineStr">
        <is>
          <t>POST</t>
        </is>
      </c>
      <c r="C37" s="9" t="inlineStr">
        <is>
          <t>/location-insight-service/locationInsightController/modifyPropertyProductivity</t>
        </is>
      </c>
      <c r="D37" s="9" t="inlineStr">
        <is>
          <t>/overallSummary-service/locationInsightController/modifyPropertyProductivity</t>
        </is>
      </c>
      <c r="E37" s="9" t="inlineStr">
        <is>
          <t>Integrated</t>
        </is>
      </c>
      <c r="F37" s="15" t="n">
        <v>46303</v>
      </c>
      <c r="G37" s="10" t="inlineStr">
        <is>
          <t>Yes</t>
        </is>
      </c>
      <c r="H37" s="9" t="inlineStr">
        <is>
          <t>TELL BACKEND TEAM: service switched to overallSummary-service; response is {success, message, data:'string'} and success:false is shown as the save error. Each location in the new request has more fields than the old one (propertyValue, status, period next to locationId, locationName, productivity). The frontend sends back, for every changed location, exactly what the list returned with only productivity changed. The top-level period is the reporting date as DD-MM-YYYY (the swagger just says string). Please confirm this is what the backend expects.</t>
        </is>
      </c>
      <c r="I37" s="9" t="n"/>
    </row>
    <row r="38" s="16">
      <c r="A38" s="9" t="inlineStr">
        <is>
          <t>Report</t>
        </is>
      </c>
      <c r="B38" s="9" t="inlineStr">
        <is>
          <t>GET</t>
        </is>
      </c>
      <c r="C38" s="9" t="inlineStr">
        <is>
          <t>/consolidated-python-report-service/pythonReportController/{reportKey}?period=YYYY-MM</t>
        </is>
      </c>
      <c r="D38" s="9" t="inlineStr">
        <is>
          <t>/consolidated-python-report-service/pythonReportController/{reportKey}?period=YYYY-MM</t>
        </is>
      </c>
      <c r="E38" s="9" t="inlineStr">
        <is>
          <t>Integrated</t>
        </is>
      </c>
      <c r="F38" s="15" t="n">
        <v>46302</v>
      </c>
      <c r="G38" s="10" t="inlineStr">
        <is>
          <t>Yes</t>
        </is>
      </c>
      <c r="H38" s="9" t="inlineStr">
        <is>
          <t>TELL BACKEND TEAM: the new backend serves the same path (swagger: GET .../pythonReportController/stockReportConsolidated with a period query param; the last segment is the report the user picks, 35 reports - see the 'Report types' sheet). Only stockReportConsolidated's request was shown and no response sample was given, so please confirm that (1) the other 34 report methods keep the same name and period=YYYY-MM, and (2) the response still carries the file link as download_url - the frontend also accepts the new envelope's downloadUrlPath (top level or inside data), and shows message / error when there is no file.</t>
        </is>
      </c>
      <c r="I38" s="9" t="n"/>
    </row>
    <row r="39" s="16">
      <c r="A39" s="9" t="inlineStr">
        <is>
          <t>Category Analysis</t>
        </is>
      </c>
      <c r="B39" s="9" t="inlineStr">
        <is>
          <t>GET</t>
        </is>
      </c>
      <c r="C39" s="9" t="inlineStr">
        <is>
          <t>/category-analysis-service/categoryAnalysisController/overallDropDown/{idx}/{date}/{userType}/{userId}</t>
        </is>
      </c>
      <c r="D39" s="9" t="inlineStr">
        <is>
          <t>/item-analysis-summary-service/categoryAnalysisController/overallDropDown/{type}/{date}/{userType}/{userId}</t>
        </is>
      </c>
      <c r="E39" s="9" t="inlineStr">
        <is>
          <t>Integrated</t>
        </is>
      </c>
      <c r="F39" s="15" t="n">
        <v>46302</v>
      </c>
      <c r="G39" s="10" t="n"/>
      <c r="H39" s="9" t="inlineStr">
        <is>
          <t>Service switched to item-analysis-summary-service. Response is {success, data:[...]} of the backend's wide shared DTO; id/name (or locationId/locationName) and startDay are read, and startDay is parsed to a number. type 1-3 = category list (name only).</t>
        </is>
      </c>
      <c r="I39" s="9" t="n"/>
    </row>
    <row r="40" s="16">
      <c r="A40" s="9" t="inlineStr">
        <is>
          <t>Category Analysis</t>
        </is>
      </c>
      <c r="B40" s="9" t="inlineStr">
        <is>
          <t>GET</t>
        </is>
      </c>
      <c r="C40" s="9" t="inlineStr">
        <is>
          <t>/category-analysis-service/categoryAnalysisController/overallDropDown/0/{date}/{userType}/{userId}</t>
        </is>
      </c>
      <c r="D40" s="9" t="inlineStr">
        <is>
          <t>/item-analysis-summary-service/categoryAnalysisController/overallDropDown/0/{date}/{userType}/{userId}</t>
        </is>
      </c>
      <c r="E40" s="9" t="inlineStr">
        <is>
          <t>Integrated</t>
        </is>
      </c>
      <c r="F40" s="15" t="n">
        <v>46302</v>
      </c>
      <c r="G40" s="10" t="n"/>
      <c r="H40" s="9" t="inlineStr">
        <is>
          <t>Same endpoint as the row above with type 0 = every location (the picker's location search). Same response handling.</t>
        </is>
      </c>
      <c r="I40" s="9" t="n"/>
    </row>
    <row r="41" s="16">
      <c r="A41" s="9" t="inlineStr">
        <is>
          <t>Category Analysis</t>
        </is>
      </c>
      <c r="B41" s="9" t="inlineStr">
        <is>
          <t>GET</t>
        </is>
      </c>
      <c r="C41" s="9" t="inlineStr">
        <is>
          <t>/category-analysis-service/categoryAnalysisController/dropDownByNameBased/{idx}/{category}/{date}/{userType}/{userId}</t>
        </is>
      </c>
      <c r="D41" s="9" t="inlineStr">
        <is>
          <t>/item-analysis-summary-service/categoryAnalysisController/dropDownByNameBased/{type}/{typeName}/{date}/{userType}/{userId}</t>
        </is>
      </c>
      <c r="E41" s="9" t="inlineStr">
        <is>
          <t>Integrated</t>
        </is>
      </c>
      <c r="F41" s="15" t="n">
        <v>46302</v>
      </c>
      <c r="G41" s="10" t="n"/>
      <c r="H41" s="9" t="inlineStr">
        <is>
          <t>Service switched to item-analysis-summary-service. Response is {success, data:[...]}; the category is URL-encoded.</t>
        </is>
      </c>
      <c r="I41" s="9" t="n"/>
    </row>
    <row r="42" s="16">
      <c r="A42" s="9" t="inlineStr">
        <is>
          <t>Category Analysis</t>
        </is>
      </c>
      <c r="B42" s="9" t="inlineStr">
        <is>
          <t>GET</t>
        </is>
      </c>
      <c r="C42" s="9" t="inlineStr">
        <is>
          <t>/category-analysis-service/categoryAnalysisController/srcTypeDropDown/{date}/{locationId}/{userType}/{userId}</t>
        </is>
      </c>
      <c r="D42" s="9" t="inlineStr">
        <is>
          <t>/item-analysis-summary-service/categoryAnalysisController/srcTypeDropDown/{period}/{locationId}/{userType}/{userId}</t>
        </is>
      </c>
      <c r="E42" s="9" t="inlineStr">
        <is>
          <t>Integrated</t>
        </is>
      </c>
      <c r="F42" s="15" t="n">
        <v>46302</v>
      </c>
      <c r="G42" s="10" t="n"/>
      <c r="H42" s="9" t="inlineStr">
        <is>
          <t>Service switched to item-analysis-summary-service. Response is {success, data:[...]}; the SRC type is read from name.</t>
        </is>
      </c>
      <c r="I42" s="9" t="n"/>
    </row>
    <row r="43" s="16">
      <c r="A43" s="9" t="inlineStr">
        <is>
          <t>Category Analysis</t>
        </is>
      </c>
      <c r="B43" s="9" t="inlineStr">
        <is>
          <t>POST</t>
        </is>
      </c>
      <c r="C43" s="9" t="inlineStr">
        <is>
          <t>/category-analysis-service/categoryAnalysisController/listOfCategoryAnalysis</t>
        </is>
      </c>
      <c r="D43" s="9" t="inlineStr">
        <is>
          <t>/item-analysis-summary-service/categoryAnalysisController/listOfCategoryAnalysis</t>
        </is>
      </c>
      <c r="E43" s="9" t="inlineStr">
        <is>
          <t>Integrated</t>
        </is>
      </c>
      <c r="F43" s="15" t="n">
        <v>46302</v>
      </c>
      <c r="G43" s="10" t="n"/>
      <c r="H43" s="9" t="inlineStr">
        <is>
          <t>Service switched to item-analysis-summary-service. Response is {success, data:{summary, categoryList}}: categoryList rows are the groups/categories and summary.pob is the POB. Request body unchanged (month, year, locationId, srcDateString, srcType, fromDate, toDate).</t>
        </is>
      </c>
      <c r="I43" s="9" t="n"/>
    </row>
    <row r="44" s="16">
      <c r="A44" s="9" t="inlineStr">
        <is>
          <t>Category Analysis</t>
        </is>
      </c>
      <c r="B44" s="9" t="inlineStr">
        <is>
          <t>POST</t>
        </is>
      </c>
      <c r="C44" s="9" t="inlineStr">
        <is>
          <t>/item-ingredient-analysis-service/itemIngredientAnalysisController/listOfItemIngredientAnalysis</t>
        </is>
      </c>
      <c r="D44" s="9" t="inlineStr">
        <is>
          <t>/item-analysis-summary-service/itemIngredientAnalysisController/listOfItemIngredientAnalysis</t>
        </is>
      </c>
      <c r="E44" s="9" t="inlineStr">
        <is>
          <t>Integrated</t>
        </is>
      </c>
      <c r="F44" s="15" t="n">
        <v>46302</v>
      </c>
      <c r="G44" s="10" t="inlineStr">
        <is>
          <t>Yes</t>
        </is>
      </c>
      <c r="H44" s="9" t="inlineStr">
        <is>
          <t>TELL BACKEND TEAM: now on item-analysis-summary-service; response is {success, data:{summary, itemList, categoryList}} and the item rows come from itemList. The new request has no startDate/endDate (the old Category Analysis screen sent them), so the billing window is sent as fromDate/toDate plus periodStr (as Item Analysis does) - please confirm these carry the same meaning. Same endpoint Item Analysis will use.</t>
        </is>
      </c>
      <c r="I44" s="9" t="n"/>
    </row>
    <row r="45" s="16">
      <c r="A45" s="9" t="inlineStr">
        <is>
          <t>Item Analysis</t>
        </is>
      </c>
      <c r="B45" s="9" t="inlineStr">
        <is>
          <t>GET</t>
        </is>
      </c>
      <c r="C45" s="9" t="inlineStr">
        <is>
          <t>/item-ingredient-analysis-service/itemIngredientAnalysisController/overallDropDown/{idx}/{date}/{userType}/{userId}</t>
        </is>
      </c>
      <c r="D45" s="9" t="inlineStr">
        <is>
          <t>/item-analysis-summary-service/itemIngredientAnalysisController/overallDropDown/{type}/{date}/{userType}/{userId}</t>
        </is>
      </c>
      <c r="E45" s="9" t="inlineStr">
        <is>
          <t>Integrated</t>
        </is>
      </c>
      <c r="F45" s="15" t="n">
        <v>46303</v>
      </c>
      <c r="G45" s="10" t="n"/>
      <c r="H45" s="9" t="inlineStr">
        <is>
          <t>Service switched to item-analysis-summary-service. Response is {success, data:[...]} of the backend's wide shared DTO; id/name (or locationId/locationName) and startDay are read, and startDay is parsed to a number. type 1-3 = location type's category list (name only).</t>
        </is>
      </c>
      <c r="I45" s="9" t="n"/>
    </row>
    <row r="46" s="16">
      <c r="A46" s="9" t="inlineStr">
        <is>
          <t>Item Analysis</t>
        </is>
      </c>
      <c r="B46" s="9" t="inlineStr">
        <is>
          <t>GET</t>
        </is>
      </c>
      <c r="C46" s="9" t="inlineStr">
        <is>
          <t>/item-ingredient-analysis-service/itemIngredientAnalysisController/overallDropDown/0/{date}/{userType}/{userId}</t>
        </is>
      </c>
      <c r="D46" s="9" t="inlineStr">
        <is>
          <t>/item-analysis-summary-service/itemIngredientAnalysisController/overallDropDown/0/{date}/{userType}/{userId}</t>
        </is>
      </c>
      <c r="E46" s="9" t="inlineStr">
        <is>
          <t>Integrated</t>
        </is>
      </c>
      <c r="F46" s="15" t="n">
        <v>46303</v>
      </c>
      <c r="G46" s="10" t="n"/>
      <c r="H46" s="9" t="inlineStr">
        <is>
          <t>Same endpoint as the row above with type 0 = every location (the picker's location search). Same response handling; startDay feeds the billing window.</t>
        </is>
      </c>
      <c r="I46" s="9" t="n"/>
    </row>
    <row r="47" s="16">
      <c r="A47" s="9" t="inlineStr">
        <is>
          <t>Item Analysis</t>
        </is>
      </c>
      <c r="B47" s="9" t="inlineStr">
        <is>
          <t>GET</t>
        </is>
      </c>
      <c r="C47" s="9" t="inlineStr">
        <is>
          <t>/item-ingredient-analysis-service/itemIngredientAnalysisController/dropDownByNameBased/{idx}/{category}/{date}/{userType}/{userId}</t>
        </is>
      </c>
      <c r="D47" s="9" t="inlineStr">
        <is>
          <t>/item-analysis-summary-service/itemIngredientAnalysisController/dropDownByNameBased/{type}/{typeName}/{date}/{userType}/{userId}</t>
        </is>
      </c>
      <c r="E47" s="9" t="inlineStr">
        <is>
          <t>Integrated</t>
        </is>
      </c>
      <c r="F47" s="15" t="n">
        <v>46303</v>
      </c>
      <c r="G47" s="10" t="n"/>
      <c r="H47" s="9" t="inlineStr">
        <is>
          <t>Service switched to item-analysis-summary-service. Response is {success, data:[...]}; the category is URL-encoded.</t>
        </is>
      </c>
      <c r="I47" s="9" t="n"/>
    </row>
    <row r="48" s="16">
      <c r="A48" s="9" t="inlineStr">
        <is>
          <t>Item Analysis</t>
        </is>
      </c>
      <c r="B48" s="9" t="inlineStr">
        <is>
          <t>GET</t>
        </is>
      </c>
      <c r="C48" s="9" t="inlineStr">
        <is>
          <t>/item-ingredient-analysis-service/itemIngredientAnalysisController/categoryDropDown</t>
        </is>
      </c>
      <c r="D48" s="9" t="inlineStr">
        <is>
          <t>/item-analysis-summary-service/itemBreakupController/categoryDropDown</t>
        </is>
      </c>
      <c r="E48" s="9" t="inlineStr">
        <is>
          <t>Integrated</t>
        </is>
      </c>
      <c r="F48" s="15" t="n">
        <v>46303</v>
      </c>
      <c r="G48" s="10" t="n"/>
      <c r="H48" s="9" t="inlineStr">
        <is>
          <t>Now uses the new itemBreakupController/categoryDropDown - the same call Item Breakup already uses (as you instructed). The 'All Category' entry is dropped because this screen adds its own. Consumption Analysis (on hold) no longer shares this call with Item Analysis.</t>
        </is>
      </c>
      <c r="I48" s="9" t="n"/>
    </row>
    <row r="49" s="16">
      <c r="A49" s="9" t="inlineStr">
        <is>
          <t>Item Analysis</t>
        </is>
      </c>
      <c r="B49" s="9" t="inlineStr">
        <is>
          <t>GET</t>
        </is>
      </c>
      <c r="C49" s="9" t="inlineStr">
        <is>
          <t>/item-ingredient-analysis-service/itemIngredientAnalysisController/srcTypeDropDown/{date}/{locationId}</t>
        </is>
      </c>
      <c r="D49" s="9" t="inlineStr">
        <is>
          <t>/item-analysis-summary-service/categoryAnalysisController/srcTypeDropDown/{period}/{locationId}/{userType}/{userId}</t>
        </is>
      </c>
      <c r="E49" s="9" t="inlineStr">
        <is>
          <t>Integrated</t>
        </is>
      </c>
      <c r="F49" s="15" t="n">
        <v>46303</v>
      </c>
      <c r="G49" s="10" t="n"/>
      <c r="H49" s="9" t="inlineStr">
        <is>
          <t>Now uses the new categoryAnalysisController/srcTypeDropDown - the same call Category Analysis already uses (as you instructed); it also sends userType and userId. Consumption Analysis (on hold) no longer shares this call with Item Analysis.</t>
        </is>
      </c>
      <c r="I49" s="9" t="n"/>
    </row>
    <row r="50" s="16">
      <c r="A50" s="9" t="inlineStr">
        <is>
          <t>Item Analysis</t>
        </is>
      </c>
      <c r="B50" s="9" t="inlineStr">
        <is>
          <t>POST</t>
        </is>
      </c>
      <c r="C50" s="9" t="inlineStr">
        <is>
          <t>/item-ingredient-analysis-service/itemIngredientAnalysisController/listOfItemIngredientAnalysis</t>
        </is>
      </c>
      <c r="D50" s="9" t="inlineStr">
        <is>
          <t>/item-analysis-summary-service/itemIngredientAnalysisController/listOfItemIngredientAnalysis</t>
        </is>
      </c>
      <c r="E50" s="9" t="inlineStr">
        <is>
          <t>Integrated</t>
        </is>
      </c>
      <c r="F50" s="15" t="n">
        <v>46303</v>
      </c>
      <c r="G50" s="10" t="inlineStr">
        <is>
          <t>Yes</t>
        </is>
      </c>
      <c r="H50" s="9" t="inlineStr">
        <is>
          <t>TELL BACKEND TEAM: service switched to item-analysis-summary-service; response is {success, data:{summary, itemList, categoryList}} - the table reads itemList and the chart reads categoryList. The request is unchanged (month, year, locationId, periodStr, and srcDate / categoryId / srcType / fromDate / toDate when set). The chart names each category by categoryId (falling back to categoryName) and matches it to the items' categoryId when you click a slice, so please confirm categoryList.categoryId and itemList.categoryId use the same value.</t>
        </is>
      </c>
      <c r="I50" s="9" t="n"/>
    </row>
    <row r="51" s="16">
      <c r="A51" s="9" t="inlineStr">
        <is>
          <t>Item Breakup</t>
        </is>
      </c>
      <c r="B51" s="9" t="inlineStr">
        <is>
          <t>GET</t>
        </is>
      </c>
      <c r="C51" s="9" t="inlineStr">
        <is>
          <t>/item-breakup-service/itemBreakupController/overallDropDown/{idx}/{date}/{userType}/{userId}</t>
        </is>
      </c>
      <c r="D51" s="9" t="inlineStr">
        <is>
          <t>/item-analysis-summary-service/itemBreakupController/overallDropDown/{type}/{date}/{userType}/{userId}</t>
        </is>
      </c>
      <c r="E51" s="9" t="inlineStr">
        <is>
          <t>Integrated</t>
        </is>
      </c>
      <c r="F51" s="15" t="n">
        <v>46302</v>
      </c>
      <c r="G51" s="10" t="n"/>
      <c r="H51" s="9" t="inlineStr">
        <is>
          <t>Service switched to item-analysis-summary-service. Response is {success, data:[...]} of the backend's wide shared DTO; id/name (or locationId/locationName) are read. type 1-3 = location type's category list (name only).</t>
        </is>
      </c>
      <c r="I51" s="9" t="n"/>
    </row>
    <row r="52" s="16">
      <c r="A52" s="9" t="inlineStr">
        <is>
          <t>Item Breakup</t>
        </is>
      </c>
      <c r="B52" s="9" t="inlineStr">
        <is>
          <t>GET</t>
        </is>
      </c>
      <c r="C52" s="9" t="inlineStr">
        <is>
          <t>/item-breakup-service/itemBreakupController/overallDropDown/0/{date}/{userType}/{userId}</t>
        </is>
      </c>
      <c r="D52" s="9" t="inlineStr">
        <is>
          <t>/item-analysis-summary-service/itemBreakupController/overallDropDown/0/{date}/{userType}/{userId}</t>
        </is>
      </c>
      <c r="E52" s="9" t="inlineStr">
        <is>
          <t>Integrated</t>
        </is>
      </c>
      <c r="F52" s="15" t="n">
        <v>46302</v>
      </c>
      <c r="G52" s="10" t="n"/>
      <c r="H52" s="9" t="inlineStr">
        <is>
          <t>Same endpoint as the row above with type 0 = every location (the Filters modal's location list). Same response handling.</t>
        </is>
      </c>
      <c r="I52" s="9" t="n"/>
    </row>
    <row r="53" s="16">
      <c r="A53" s="9" t="inlineStr">
        <is>
          <t>Item Breakup</t>
        </is>
      </c>
      <c r="B53" s="9" t="inlineStr">
        <is>
          <t>GET</t>
        </is>
      </c>
      <c r="C53" s="9" t="inlineStr">
        <is>
          <t>/item-breakup-service/itemBreakupController/dropDownByNameBased/{idx}/{category}/{date}/{userType}/{userId}</t>
        </is>
      </c>
      <c r="D53" s="9" t="inlineStr">
        <is>
          <t>/item-analysis-summary-service/itemBreakupController/dropDownByNameBased/{type}/{typeName}/{date}/{userType}/{userId}</t>
        </is>
      </c>
      <c r="E53" s="9" t="inlineStr">
        <is>
          <t>Integrated</t>
        </is>
      </c>
      <c r="F53" s="15" t="n">
        <v>46302</v>
      </c>
      <c r="G53" s="10" t="n"/>
      <c r="H53" s="9" t="inlineStr">
        <is>
          <t>Service switched to item-analysis-summary-service. Response is {success, data:[...]}; the category is URL-encoded.</t>
        </is>
      </c>
      <c r="I53" s="9" t="n"/>
    </row>
    <row r="54" s="16">
      <c r="A54" s="9" t="inlineStr">
        <is>
          <t>Item Breakup</t>
        </is>
      </c>
      <c r="B54" s="9" t="inlineStr">
        <is>
          <t>GET</t>
        </is>
      </c>
      <c r="C54" s="9" t="inlineStr">
        <is>
          <t>/item-breakup-service/itemBreakupController/categoryDropDown</t>
        </is>
      </c>
      <c r="D54" s="9" t="inlineStr">
        <is>
          <t>/item-analysis-summary-service/itemBreakupController/categoryDropDown</t>
        </is>
      </c>
      <c r="E54" s="9" t="inlineStr">
        <is>
          <t>Integrated</t>
        </is>
      </c>
      <c r="F54" s="15" t="n">
        <v>46302</v>
      </c>
      <c r="G54" s="10" t="n"/>
      <c r="H54" s="9" t="inlineStr">
        <is>
          <t>Service switched to item-analysis-summary-service. Response is {success, data:[...]}; the item category is read from name.</t>
        </is>
      </c>
      <c r="I54" s="9" t="n"/>
    </row>
    <row r="55" s="16">
      <c r="A55" s="9" t="inlineStr">
        <is>
          <t>Item Breakup</t>
        </is>
      </c>
      <c r="B55" s="9" t="inlineStr">
        <is>
          <t>POST</t>
        </is>
      </c>
      <c r="C55" s="9" t="inlineStr">
        <is>
          <t>/item-breakup-service/itemBreakupController/listOfItemBreakup</t>
        </is>
      </c>
      <c r="D55" s="9" t="inlineStr">
        <is>
          <t>/item-analysis-summary-service/itemBreakupController/listOfItemBreakup</t>
        </is>
      </c>
      <c r="E55" s="9" t="inlineStr">
        <is>
          <t>Integrated</t>
        </is>
      </c>
      <c r="F55" s="15" t="n">
        <v>46302</v>
      </c>
      <c r="G55" s="10" t="inlineStr">
        <is>
          <t>Yes</t>
        </is>
      </c>
      <c r="H55" s="9" t="inlineStr">
        <is>
          <t>TELL BACKEND TEAM: now on item-analysis-summary-service; response is {success, data:[...]} (the item rows directly). (1) The new swagger spells the 6-months-ago quantity previousQt6 (missing y) next to previousQty1-5 and 7-11; the frontend reads previousQt6 for month 6 (and previousQty6 if it is ever sent) - please confirm or fix. (2) The new request has no type field (the old app always sent 0), so it is no longer sent.</t>
        </is>
      </c>
      <c r="I55" s="9" t="n"/>
    </row>
    <row r="56" s="16">
      <c r="A56" s="9" t="inlineStr">
        <is>
          <t>WasteCost Analysis</t>
        </is>
      </c>
      <c r="B56" s="9" t="inlineStr">
        <is>
          <t>GET</t>
        </is>
      </c>
      <c r="C56" s="9" t="inlineStr">
        <is>
          <t>/waste-cost-analysis-service/wasteCostController/locationDropdown/{year}/{userType}/{userId}</t>
        </is>
      </c>
      <c r="D56" s="9" t="n"/>
      <c r="E56" s="9" t="inlineStr">
        <is>
          <t>Pending</t>
        </is>
      </c>
      <c r="F56" s="15" t="n"/>
      <c r="G56" s="10" t="n"/>
      <c r="H56" s="9" t="inlineStr">
        <is>
          <t xml:space="preserve">ON HOLD (2026-10-08, by the backend team). </t>
        </is>
      </c>
      <c r="I56" s="9" t="n"/>
    </row>
    <row r="57" s="16">
      <c r="A57" s="9" t="inlineStr">
        <is>
          <t>WasteCost Analysis</t>
        </is>
      </c>
      <c r="B57" s="9" t="inlineStr">
        <is>
          <t>POST</t>
        </is>
      </c>
      <c r="C57" s="9" t="inlineStr">
        <is>
          <t>/waste-cost-analysis-service/wasteCostController/wasteDataDashboard</t>
        </is>
      </c>
      <c r="D57" s="9" t="n"/>
      <c r="E57" s="9" t="inlineStr">
        <is>
          <t>Pending</t>
        </is>
      </c>
      <c r="F57" s="15" t="n"/>
      <c r="G57" s="10" t="n"/>
      <c r="H57" s="9" t="inlineStr">
        <is>
          <t>ON HOLD (2026-10-08, by the backend team). Called from two places on the screen.</t>
        </is>
      </c>
      <c r="I57" s="9" t="n"/>
    </row>
    <row r="58" s="16">
      <c r="A58" s="9" t="inlineStr">
        <is>
          <t>WasteCost Analysis</t>
        </is>
      </c>
      <c r="B58" s="9" t="inlineStr">
        <is>
          <t>POST</t>
        </is>
      </c>
      <c r="C58" s="9" t="inlineStr">
        <is>
          <t>/waste-cost-analysis-service/wasteCostController/getDayBasedData</t>
        </is>
      </c>
      <c r="D58" s="9" t="n"/>
      <c r="E58" s="9" t="inlineStr">
        <is>
          <t>Pending</t>
        </is>
      </c>
      <c r="F58" s="15" t="n"/>
      <c r="G58" s="10" t="n"/>
      <c r="H58" s="9" t="inlineStr">
        <is>
          <t xml:space="preserve">ON HOLD (2026-10-08, by the backend team). </t>
        </is>
      </c>
      <c r="I58" s="9" t="n"/>
    </row>
    <row r="59" s="16">
      <c r="A59" s="9" t="inlineStr">
        <is>
          <t>User Master</t>
        </is>
      </c>
      <c r="B59" s="9" t="inlineStr">
        <is>
          <t>GET</t>
        </is>
      </c>
      <c r="C59" s="9" t="inlineStr">
        <is>
          <t>/login-credential-service/loginController/listOfUserMaster</t>
        </is>
      </c>
      <c r="D59" s="9" t="inlineStr">
        <is>
          <t>/login-credential-service/loginController/listOfUserMaster</t>
        </is>
      </c>
      <c r="E59" s="9" t="inlineStr">
        <is>
          <t>Integrated</t>
        </is>
      </c>
      <c r="F59" s="15" t="n">
        <v>46303</v>
      </c>
      <c r="G59" s="10" t="inlineStr">
        <is>
          <t>Yes</t>
        </is>
      </c>
      <c r="H59" s="9" t="inlineStr">
        <is>
          <t>Same service and path as before (login-credential-service); only the response changed to {success, message, data:[users]}. Only the fields the screen shows are kept. TELL BACKEND TEAM: the swagger lists password on every user in this list - please do not return it (the frontend discards it).</t>
        </is>
      </c>
      <c r="I59" s="9" t="n"/>
    </row>
    <row r="60" s="16">
      <c r="A60" s="9" t="inlineStr">
        <is>
          <t>User Master</t>
        </is>
      </c>
      <c r="B60" s="9" t="inlineStr">
        <is>
          <t>POST</t>
        </is>
      </c>
      <c r="C60" s="9" t="inlineStr">
        <is>
          <t>/login-credential-service/loginController/saveUserMaster</t>
        </is>
      </c>
      <c r="D60" s="9" t="inlineStr">
        <is>
          <t>/login-credential-service/loginController/saveUserMaster</t>
        </is>
      </c>
      <c r="E60" s="9" t="inlineStr">
        <is>
          <t>Integrated</t>
        </is>
      </c>
      <c r="F60" s="15" t="n">
        <v>46303</v>
      </c>
      <c r="G60" s="10" t="n"/>
      <c r="H60" s="9" t="inlineStr">
        <is>
          <t>Same service and path as before; response is now {success, message, data:'string'} and success:false (e.g. a duplicate email) is shown in the Add User form. Request fields unchanged (name, user name, email, password, mobile, roleFk, destination, createdBy).</t>
        </is>
      </c>
      <c r="I60" s="9" t="n"/>
    </row>
    <row r="61" s="16">
      <c r="A61" s="9" t="inlineStr">
        <is>
          <t>User Master</t>
        </is>
      </c>
      <c r="B61" s="9" t="inlineStr">
        <is>
          <t>POST</t>
        </is>
      </c>
      <c r="C61" s="9" t="inlineStr">
        <is>
          <t>/login-credential-service/loginController/modifyOfUserMaster</t>
        </is>
      </c>
      <c r="D61" s="9" t="inlineStr">
        <is>
          <t>/login-credential-service/loginController/modifyOfUserMaster</t>
        </is>
      </c>
      <c r="E61" s="9" t="inlineStr">
        <is>
          <t>Integrated</t>
        </is>
      </c>
      <c r="F61" s="15" t="n">
        <v>46303</v>
      </c>
      <c r="G61" s="10" t="n"/>
      <c r="H61" s="9" t="inlineStr">
        <is>
          <t>Same service and path as before; response is now {success, message, data:'string'} and success:false is shown in the Modify User form. Still sent without a password; an edit is followed by statusUpdateOfUser (a failure in the first stops the second).</t>
        </is>
      </c>
      <c r="I61" s="9" t="n"/>
    </row>
    <row r="62" s="16">
      <c r="A62" s="9" t="inlineStr">
        <is>
          <t>User Master</t>
        </is>
      </c>
      <c r="B62" s="9" t="inlineStr">
        <is>
          <t>POST</t>
        </is>
      </c>
      <c r="C62" s="9" t="inlineStr">
        <is>
          <t>/login-credential-service/loginController/statusUpdateOfUser</t>
        </is>
      </c>
      <c r="D62" s="9" t="inlineStr">
        <is>
          <t>/login-credential-service/loginController/statusUpdateOfUser</t>
        </is>
      </c>
      <c r="E62" s="9" t="inlineStr">
        <is>
          <t>Integrated</t>
        </is>
      </c>
      <c r="F62" s="15" t="n">
        <v>46303</v>
      </c>
      <c r="G62" s="10" t="n"/>
      <c r="H62" s="9" t="inlineStr">
        <is>
          <t>Same service and path as before; response is now {success, message, data:'string'}. Body {userPk, status 'a' or 'i'}. Sent right after modifyOfUserMaster when an edit is saved.</t>
        </is>
      </c>
      <c r="I62" s="9" t="n"/>
    </row>
    <row r="63" s="16">
      <c r="A63" s="9" t="inlineStr">
        <is>
          <t>User Master</t>
        </is>
      </c>
      <c r="B63" s="9" t="inlineStr">
        <is>
          <t>POST</t>
        </is>
      </c>
      <c r="C63" s="9" t="inlineStr">
        <is>
          <t>/login-credential-service/loginController/userPasswordUpdateByAdmin</t>
        </is>
      </c>
      <c r="D63" s="9" t="inlineStr">
        <is>
          <t>/login-credential-service/loginController/userPasswordUpdateByAdmin</t>
        </is>
      </c>
      <c r="E63" s="9" t="inlineStr">
        <is>
          <t>Integrated</t>
        </is>
      </c>
      <c r="F63" s="15" t="n">
        <v>46303</v>
      </c>
      <c r="G63" s="10" t="n"/>
      <c r="H63" s="9" t="inlineStr">
        <is>
          <t>Same service and path as before; response is now {success, message, data:'string'} and success:false is shown in the Reset Password form. Body {userPk, password, lastActBy}. The same endpoint also serves Change Password in the profile menu (its own row).</t>
        </is>
      </c>
      <c r="I63" s="9" t="n"/>
    </row>
    <row r="64" s="16">
      <c r="A64" s="9" t="inlineStr">
        <is>
          <t>Location Rights</t>
        </is>
      </c>
      <c r="B64" s="9" t="inlineStr">
        <is>
          <t>GET</t>
        </is>
      </c>
      <c r="C64" s="9" t="inlineStr">
        <is>
          <t>/login-credential-service/loginController/userDropdownByLocatinRights</t>
        </is>
      </c>
      <c r="D64" s="9" t="inlineStr">
        <is>
          <t>/login-credential-service/loginController/userDropdownByLocatinRights</t>
        </is>
      </c>
      <c r="E64" s="9" t="inlineStr">
        <is>
          <t>Integrated</t>
        </is>
      </c>
      <c r="F64" s="15" t="n">
        <v>46303</v>
      </c>
      <c r="G64" s="10" t="n"/>
      <c r="H64" s="9" t="inlineStr">
        <is>
          <t>Same service and path as before (the spelling userDropdownByLocatinRights is the backend's own); response is now {success, message, data:[users]} and only pk and name are read.</t>
        </is>
      </c>
      <c r="I64" s="9" t="n"/>
    </row>
    <row r="65" s="16">
      <c r="A65" s="9" t="inlineStr">
        <is>
          <t>Location Rights</t>
        </is>
      </c>
      <c r="B65" s="9" t="inlineStr">
        <is>
          <t>GET</t>
        </is>
      </c>
      <c r="C65" s="9" t="inlineStr">
        <is>
          <t>/login-credential-service/loginController/userDropdownByLocatinRights/{userPk}</t>
        </is>
      </c>
      <c r="D65" s="9" t="inlineStr">
        <is>
          <t>/login-credential-service/loginController/userDropdownByLocatinRights/{userPk}</t>
        </is>
      </c>
      <c r="E65" s="9" t="inlineStr">
        <is>
          <t>Integrated</t>
        </is>
      </c>
      <c r="F65" s="15" t="n">
        <v>46303</v>
      </c>
      <c r="G65" s="10" t="inlineStr">
        <is>
          <t>Yes</t>
        </is>
      </c>
      <c r="H65" s="9" t="inlineStr">
        <is>
          <t>TELL BACKEND TEAM: same service and path as before; response is now {success, message, data:[locations]} of the wide shared DTO, with the user's pk in pkThree and each location's own pk. The DTO has both code / name and locationId / locationName; the frontend reads code / name first and falls back to locationId / locationName - please confirm which pair is filled, and that pk is unique per location (the screen keys its ticks on it).</t>
        </is>
      </c>
      <c r="I65" s="9" t="n"/>
    </row>
    <row r="66" s="16">
      <c r="A66" s="9" t="inlineStr">
        <is>
          <t>Location Rights</t>
        </is>
      </c>
      <c r="B66" s="9" t="inlineStr">
        <is>
          <t>POST</t>
        </is>
      </c>
      <c r="C66" s="9" t="inlineStr">
        <is>
          <t>/login-credential-service/loginController/saveLocationRights</t>
        </is>
      </c>
      <c r="D66" s="9" t="inlineStr">
        <is>
          <t>/login-credential-service/loginController/saveLocationRights</t>
        </is>
      </c>
      <c r="E66" s="9" t="inlineStr">
        <is>
          <t>Integrated</t>
        </is>
      </c>
      <c r="F66" s="15" t="n">
        <v>46303</v>
      </c>
      <c r="G66" s="10" t="n"/>
      <c r="H66" s="9" t="inlineStr">
        <is>
          <t>Same service and path as before; the body is still the bare array of {pkThree, locationId, check} for every location, and the response is now {success, message, data:'string'}; success:false is shown as the save error.</t>
        </is>
      </c>
      <c r="I66" s="9" t="n"/>
    </row>
    <row r="67" s="16">
      <c r="A67" s="9" t="inlineStr">
        <is>
          <t>User Log</t>
        </is>
      </c>
      <c r="B67" s="9" t="inlineStr">
        <is>
          <t>POST</t>
        </is>
      </c>
      <c r="C67" s="9" t="inlineStr">
        <is>
          <t>/login-credential-service/loginController/retreiveUserLog</t>
        </is>
      </c>
      <c r="D67" s="9" t="inlineStr">
        <is>
          <t>/login-credential-service/loginController/retreiveUserLog</t>
        </is>
      </c>
      <c r="E67" s="9" t="inlineStr">
        <is>
          <t>Integrated</t>
        </is>
      </c>
      <c r="F67" s="15" t="n">
        <v>46303</v>
      </c>
      <c r="G67" s="10" t="inlineStr">
        <is>
          <t>Yes</t>
        </is>
      </c>
      <c r="H67" s="9" t="inlineStr">
        <is>
          <t>TELL BACKEND TEAM: same service and path as before (the spelling retreiveUserLog is the backend's own); response is now {success, message, data:[log rows]}, of which only the user, role, login and logout fields are read. The request sends only retrieveType (1 day / 2 week / 3 month / 4 year) plus day as yyyy-MM-dd, or yearInt for a year; the swagger shows day as a date-time - please confirm yyyy-MM-dd is accepted.</t>
        </is>
      </c>
      <c r="I67" s="9" t="n"/>
    </row>
    <row r="68" s="16">
      <c r="A68" s="9" t="inlineStr">
        <is>
          <t>User Log</t>
        </is>
      </c>
      <c r="B68" s="9" t="inlineStr">
        <is>
          <t>POST</t>
        </is>
      </c>
      <c r="C68" s="9" t="inlineStr">
        <is>
          <t>/login-credential-service/loginController/retreiveUserLogByExcel</t>
        </is>
      </c>
      <c r="D68" s="9" t="inlineStr">
        <is>
          <t>/login-credential-service/loginController/retreiveUserLogByExcel</t>
        </is>
      </c>
      <c r="E68" s="9" t="inlineStr">
        <is>
          <t>Integrated</t>
        </is>
      </c>
      <c r="F68" s="15" t="n">
        <v>46303</v>
      </c>
      <c r="G68" s="10" t="inlineStr">
        <is>
          <t>Yes</t>
        </is>
      </c>
      <c r="H68" s="9" t="inlineStr">
        <is>
          <t>TELL BACKEND TEAM: same service and path as before (the spelling retreiveUserLogByExcel is the backend's own). The new swagger gives no response structure; the old app received the workbook itself (a file). The frontend saves a file reply, shows the message of a JSON reply with success:false or an error status, and opens a file link if the reply is JSON carrying download_url / downloadUrlPath. Please confirm what this endpoint returns.</t>
        </is>
      </c>
      <c r="I68" s="9" t="n"/>
    </row>
    <row r="69" s="16">
      <c r="A69" s="9" t="inlineStr">
        <is>
          <t>Month Closing</t>
        </is>
      </c>
      <c r="B69" s="9" t="inlineStr">
        <is>
          <t>GET</t>
        </is>
      </c>
      <c r="C69" s="9" t="inlineStr">
        <is>
          <t>/consolidated-python-report-service/pythonReportController/monthClosing</t>
        </is>
      </c>
      <c r="D69" s="9" t="n"/>
      <c r="E69" s="9" t="inlineStr">
        <is>
          <t>Pending</t>
        </is>
      </c>
      <c r="F69" s="15" t="n"/>
      <c r="G69" s="10" t="n"/>
      <c r="H69" s="9" t="inlineStr">
        <is>
          <t>ON HOLD (2026-10-08, by the backend team). CHECKED 2026-10-08: old ELMS (current code) calls GET /consolidated-python-report-service/pythonReportController/monthClosing through the api-gateway, and the gateway wraps the result as {status_code, python_response:'&lt;json string&gt;', success, message} with the real result ({status:'ok', procedure, new_lms_period, eiis_period_update:{status}}) inside python_response. The new app instead calls POST http://103.73.189.202:5000/pull/month-closing (a separate host, plain http, no gateway) and reads the inner result directly. Same count (1 call) but a different endpoint, method and response wrapper. Decide which endpoint is the real one and give the new backend API.</t>
        </is>
      </c>
      <c r="I69" s="9" t="n"/>
    </row>
    <row r="70" s="16">
      <c r="A70" s="9" t="inlineStr">
        <is>
          <t>Login / Logout</t>
        </is>
      </c>
      <c r="B70" s="9" t="inlineStr">
        <is>
          <t>POST</t>
        </is>
      </c>
      <c r="C70" s="9" t="inlineStr">
        <is>
          <t>/login-credential-service/loginController/findUsers</t>
        </is>
      </c>
      <c r="D70" s="9" t="inlineStr">
        <is>
          <t>/login-credential-service/loginController/findUsers</t>
        </is>
      </c>
      <c r="E70" s="9" t="inlineStr">
        <is>
          <t>Integrated</t>
        </is>
      </c>
      <c r="F70" s="15" t="n">
        <v>46301</v>
      </c>
      <c r="G70" s="10" t="n"/>
      <c r="H70" s="9" t="inlineStr">
        <is>
          <t>Same path. Response is {success, message, data:{...}} - parsed in authStore.ts; data.authToken is kept and sent as a Bearer token on every other call. Called on the server directly (no /api-gateway).</t>
        </is>
      </c>
      <c r="I70" s="9" t="n"/>
    </row>
    <row r="71" s="16">
      <c r="A71" s="9" t="inlineStr">
        <is>
          <t>Login / Logout</t>
        </is>
      </c>
      <c r="B71" s="9" t="inlineStr">
        <is>
          <t>GET</t>
        </is>
      </c>
      <c r="C71" s="9" t="inlineStr">
        <is>
          <t>/login-credential-service/loginController/logOut/{resultPK}</t>
        </is>
      </c>
      <c r="D71" s="9" t="n"/>
      <c r="E71" s="9" t="inlineStr">
        <is>
          <t>Pending</t>
        </is>
      </c>
      <c r="F71" s="15" t="n"/>
      <c r="G71" s="10" t="n"/>
      <c r="H71" s="9" t="inlineStr">
        <is>
          <t>Sends the Bearer token. Path unchanged; response format not checked yet. Called directly (no /api-gateway).</t>
        </is>
      </c>
      <c r="I71" s="9" t="n"/>
    </row>
    <row r="72" s="16">
      <c r="A72" s="9" t="inlineStr">
        <is>
          <t>Change Password (profile menu)</t>
        </is>
      </c>
      <c r="B72" s="9" t="inlineStr">
        <is>
          <t>POST</t>
        </is>
      </c>
      <c r="C72" s="9" t="inlineStr">
        <is>
          <t>/login-credential-service/loginController/userPasswordUpdateByAdmin</t>
        </is>
      </c>
      <c r="D72" s="9" t="inlineStr">
        <is>
          <t>/login-credential-service/loginController/userPasswordUpdateByAdmin</t>
        </is>
      </c>
      <c r="E72" s="9" t="inlineStr">
        <is>
          <t>Integrated</t>
        </is>
      </c>
      <c r="F72" s="15" t="n">
        <v>46303</v>
      </c>
      <c r="G72" s="10" t="n"/>
      <c r="H72" s="9" t="inlineStr">
        <is>
          <t>Same service and path as before; the shared endpoint now answers {success, message, data:'string'}, so the Change Password dialog also treats success:true as done and shows the message on success:false. Body {emailId, password}. Same endpoint as User Master's admin reset.</t>
        </is>
      </c>
      <c r="I72" s="9" t="n"/>
    </row>
  </sheetData>
  <autoFilter ref="A1:I72"/>
  <conditionalFormatting sqref="E2:E500">
    <cfRule type="expression" priority="1" dxfId="4">
      <formula>$E2="Pending"</formula>
    </cfRule>
    <cfRule type="expression" priority="2" dxfId="3">
      <formula>$E2="Integrated"</formula>
    </cfRule>
    <cfRule type="expression" priority="3" dxfId="2">
      <formula>$E2="Verified"</formula>
    </cfRule>
  </conditionalFormatting>
  <conditionalFormatting sqref="A2:D500">
    <cfRule type="expression" priority="4" dxfId="0">
      <formula>$G2="Yes"</formula>
    </cfRule>
  </conditionalFormatting>
  <conditionalFormatting sqref="F2:H500">
    <cfRule type="expression" priority="5" dxfId="0">
      <formula>$G2="Yes"</formula>
    </cfRule>
  </conditionalFormatting>
  <dataValidations count="2">
    <dataValidation sqref="E2:E500" showDropDown="0" showInputMessage="0" showErrorMessage="0" allowBlank="0" type="list">
      <formula1>"Pending,Integrated,Verified"</formula1>
    </dataValidation>
    <dataValidation sqref="G2:G500" showDropDown="0" showInputMessage="0" showErrorMessage="0" allowBlank="1" type="list">
      <formula1>"Yes"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9"/>
  <sheetViews>
    <sheetView workbookViewId="0">
      <pane ySplit="4" topLeftCell="A5" activePane="bottomLeft" state="frozen"/>
      <selection pane="bottomLeft" activeCell="A1" sqref="A1"/>
    </sheetView>
  </sheetViews>
  <sheetFormatPr baseColWidth="8" defaultRowHeight="15"/>
  <cols>
    <col width="6" customWidth="1" style="16" min="1" max="1"/>
    <col width="52" customWidth="1" style="16" min="2" max="2"/>
    <col width="36" customWidth="1" style="16" min="3" max="3"/>
    <col width="90" customWidth="1" style="16" min="4" max="4"/>
    <col width="70" customWidth="1" style="16" min="5" max="5"/>
    <col width="26" customWidth="1" style="16" min="6" max="6"/>
  </cols>
  <sheetData>
    <row r="1">
      <c r="A1" s="26" t="inlineStr">
        <is>
          <t>Report screen - the 35 reports the user can pick (each is the last segment of the one endpoint)</t>
        </is>
      </c>
    </row>
    <row r="2">
      <c r="A2" t="inlineStr">
        <is>
          <t>The new backend serves the same path; the last segment is the report the user picks. Only stockReportConsolidated was shown in the new swagger, so the other 34 follow the same pattern until the backend team confirms. If a report's endpoint changes, edit its 'New endpoint' cell and the frontend list. The report key is also the backend method name, so copy it exactly (including its own spellings).</t>
        </is>
      </c>
    </row>
    <row r="4">
      <c r="A4" s="27" t="inlineStr">
        <is>
          <t>#</t>
        </is>
      </c>
      <c r="B4" s="27" t="inlineStr">
        <is>
          <t>Report (as shown to the user)</t>
        </is>
      </c>
      <c r="C4" s="27" t="inlineStr">
        <is>
          <t>Report key (path segment)</t>
        </is>
      </c>
      <c r="D4" s="27" t="inlineStr">
        <is>
          <t>Old endpoint</t>
        </is>
      </c>
      <c r="E4" s="27" t="inlineStr">
        <is>
          <t>New endpoint</t>
        </is>
      </c>
      <c r="F4" s="27" t="inlineStr">
        <is>
          <t>Same list in old and new?</t>
        </is>
      </c>
    </row>
    <row r="5">
      <c r="A5" s="31" t="n">
        <v>1</v>
      </c>
      <c r="B5" s="31" t="inlineStr">
        <is>
          <t>Cash Movement - Consolidated</t>
        </is>
      </c>
      <c r="C5" s="31" t="inlineStr">
        <is>
          <t>cashMovementConsolidated</t>
        </is>
      </c>
      <c r="D5" s="31" t="inlineStr">
        <is>
          <t>/consolidated-python-report-service/pythonReportController/cashMovementConsolidated?period=YYYY-MM</t>
        </is>
      </c>
      <c r="E5" s="31" t="inlineStr">
        <is>
          <t>/consolidated-python-report-service/pythonReportController/cashMovementConsolidated?period=YYYY-MM   (same pattern - to be confirmed)</t>
        </is>
      </c>
      <c r="F5" s="31" t="inlineStr">
        <is>
          <t>Yes</t>
        </is>
      </c>
    </row>
    <row r="6">
      <c r="A6" s="31" t="n">
        <v>2</v>
      </c>
      <c r="B6" s="31" t="inlineStr">
        <is>
          <t>Accounting Details - Consolidated</t>
        </is>
      </c>
      <c r="C6" s="31" t="inlineStr">
        <is>
          <t>accountingDetails</t>
        </is>
      </c>
      <c r="D6" s="31" t="inlineStr">
        <is>
          <t>/consolidated-python-report-service/pythonReportController/accountingDetails?period=YYYY-MM</t>
        </is>
      </c>
      <c r="E6" s="31" t="inlineStr">
        <is>
          <t>/consolidated-python-report-service/pythonReportController/accountingDetails?period=YYYY-MM   (same pattern - to be confirmed)</t>
        </is>
      </c>
      <c r="F6" s="31" t="inlineStr">
        <is>
          <t>Yes</t>
        </is>
      </c>
    </row>
    <row r="7">
      <c r="A7" s="31" t="n">
        <v>3</v>
      </c>
      <c r="B7" s="31" t="inlineStr">
        <is>
          <t>Cash Entry - Consolidated</t>
        </is>
      </c>
      <c r="C7" s="31" t="inlineStr">
        <is>
          <t>cashEntry</t>
        </is>
      </c>
      <c r="D7" s="31" t="inlineStr">
        <is>
          <t>/consolidated-python-report-service/pythonReportController/cashEntry?period=YYYY-MM</t>
        </is>
      </c>
      <c r="E7" s="31" t="inlineStr">
        <is>
          <t>/consolidated-python-report-service/pythonReportController/cashEntry?period=YYYY-MM   (same pattern - to be confirmed)</t>
        </is>
      </c>
      <c r="F7" s="31" t="inlineStr">
        <is>
          <t>Yes</t>
        </is>
      </c>
    </row>
    <row r="8">
      <c r="A8" s="31" t="n">
        <v>4</v>
      </c>
      <c r="B8" s="31" t="inlineStr">
        <is>
          <t>Cash Movement Summary - Consolidated</t>
        </is>
      </c>
      <c r="C8" s="31" t="inlineStr">
        <is>
          <t>cashMovementSummaryConsolidated</t>
        </is>
      </c>
      <c r="D8" s="31" t="inlineStr">
        <is>
          <t>/consolidated-python-report-service/pythonReportController/cashMovementSummaryConsolidated?period=YYYY-MM</t>
        </is>
      </c>
      <c r="E8" s="31" t="inlineStr">
        <is>
          <t>/consolidated-python-report-service/pythonReportController/cashMovementSummaryConsolidated?period=YYYY-MM   (same pattern - to be confirmed)</t>
        </is>
      </c>
      <c r="F8" s="31" t="inlineStr">
        <is>
          <t>Yes</t>
        </is>
      </c>
    </row>
    <row r="9">
      <c r="A9" s="31" t="n">
        <v>5</v>
      </c>
      <c r="B9" s="31" t="inlineStr">
        <is>
          <t>Consumption By Category - Consolidated</t>
        </is>
      </c>
      <c r="C9" s="31" t="inlineStr">
        <is>
          <t>consumptionByCategoryConsolidated</t>
        </is>
      </c>
      <c r="D9" s="31" t="inlineStr">
        <is>
          <t>/consolidated-python-report-service/pythonReportController/consumptionByCategoryConsolidated?period=YYYY-MM</t>
        </is>
      </c>
      <c r="E9" s="31" t="inlineStr">
        <is>
          <t>/consolidated-python-report-service/pythonReportController/consumptionByCategoryConsolidated?period=YYYY-MM   (same pattern - to be confirmed)</t>
        </is>
      </c>
      <c r="F9" s="31" t="inlineStr">
        <is>
          <t>Yes</t>
        </is>
      </c>
    </row>
    <row r="10">
      <c r="A10" s="31" t="n">
        <v>6</v>
      </c>
      <c r="B10" s="31" t="inlineStr">
        <is>
          <t>Credit Journal - Consolidated</t>
        </is>
      </c>
      <c r="C10" s="31" t="inlineStr">
        <is>
          <t>creaditJournalConsolidated</t>
        </is>
      </c>
      <c r="D10" s="31" t="inlineStr">
        <is>
          <t>/consolidated-python-report-service/pythonReportController/creaditJournalConsolidated?period=YYYY-MM</t>
        </is>
      </c>
      <c r="E10" s="31" t="inlineStr">
        <is>
          <t>/consolidated-python-report-service/pythonReportController/creaditJournalConsolidated?period=YYYY-MM   (same pattern - to be confirmed)</t>
        </is>
      </c>
      <c r="F10" s="31" t="inlineStr">
        <is>
          <t>Yes</t>
        </is>
      </c>
    </row>
    <row r="11">
      <c r="A11" s="31" t="n">
        <v>7</v>
      </c>
      <c r="B11" s="31" t="inlineStr">
        <is>
          <t>CWH In Details - Consolidated</t>
        </is>
      </c>
      <c r="C11" s="31" t="inlineStr">
        <is>
          <t>cwhInDetailsConsolidated</t>
        </is>
      </c>
      <c r="D11" s="31" t="inlineStr">
        <is>
          <t>/consolidated-python-report-service/pythonReportController/cwhInDetailsConsolidated?period=YYYY-MM</t>
        </is>
      </c>
      <c r="E11" s="31" t="inlineStr">
        <is>
          <t>/consolidated-python-report-service/pythonReportController/cwhInDetailsConsolidated?period=YYYY-MM   (same pattern - to be confirmed)</t>
        </is>
      </c>
      <c r="F11" s="31" t="inlineStr">
        <is>
          <t>Yes</t>
        </is>
      </c>
    </row>
    <row r="12">
      <c r="A12" s="31" t="n">
        <v>8</v>
      </c>
      <c r="B12" s="31" t="inlineStr">
        <is>
          <t>CWH In Summary - Consolidated</t>
        </is>
      </c>
      <c r="C12" s="31" t="inlineStr">
        <is>
          <t>cwhInSummaryConsolidated</t>
        </is>
      </c>
      <c r="D12" s="31" t="inlineStr">
        <is>
          <t>/consolidated-python-report-service/pythonReportController/cwhInSummaryConsolidated?period=YYYY-MM</t>
        </is>
      </c>
      <c r="E12" s="31" t="inlineStr">
        <is>
          <t>/consolidated-python-report-service/pythonReportController/cwhInSummaryConsolidated?period=YYYY-MM   (same pattern - to be confirmed)</t>
        </is>
      </c>
      <c r="F12" s="31" t="inlineStr">
        <is>
          <t>Yes</t>
        </is>
      </c>
    </row>
    <row r="13">
      <c r="A13" s="31" t="n">
        <v>9</v>
      </c>
      <c r="B13" s="31" t="inlineStr">
        <is>
          <t>CWH Out Details - Consolidated</t>
        </is>
      </c>
      <c r="C13" s="31" t="inlineStr">
        <is>
          <t>cwhOutDetailsConsolidated</t>
        </is>
      </c>
      <c r="D13" s="31" t="inlineStr">
        <is>
          <t>/consolidated-python-report-service/pythonReportController/cwhOutDetailsConsolidated?period=YYYY-MM</t>
        </is>
      </c>
      <c r="E13" s="31" t="inlineStr">
        <is>
          <t>/consolidated-python-report-service/pythonReportController/cwhOutDetailsConsolidated?period=YYYY-MM   (same pattern - to be confirmed)</t>
        </is>
      </c>
      <c r="F13" s="31" t="inlineStr">
        <is>
          <t>Yes</t>
        </is>
      </c>
    </row>
    <row r="14">
      <c r="A14" s="31" t="n">
        <v>10</v>
      </c>
      <c r="B14" s="31" t="inlineStr">
        <is>
          <t>CWH Out Summary - Consolidated</t>
        </is>
      </c>
      <c r="C14" s="31" t="inlineStr">
        <is>
          <t>cwhOutSummaryConsolidated</t>
        </is>
      </c>
      <c r="D14" s="31" t="inlineStr">
        <is>
          <t>/consolidated-python-report-service/pythonReportController/cwhOutSummaryConsolidated?period=YYYY-MM</t>
        </is>
      </c>
      <c r="E14" s="31" t="inlineStr">
        <is>
          <t>/consolidated-python-report-service/pythonReportController/cwhOutSummaryConsolidated?period=YYYY-MM   (same pattern - to be confirmed)</t>
        </is>
      </c>
      <c r="F14" s="31" t="inlineStr">
        <is>
          <t>Yes</t>
        </is>
      </c>
    </row>
    <row r="15">
      <c r="A15" s="31" t="n">
        <v>11</v>
      </c>
      <c r="B15" s="31" t="inlineStr">
        <is>
          <t>Daily SRC Details - Consolidated</t>
        </is>
      </c>
      <c r="C15" s="31" t="inlineStr">
        <is>
          <t>dailySrcDetailsConsolidated</t>
        </is>
      </c>
      <c r="D15" s="31" t="inlineStr">
        <is>
          <t>/consolidated-python-report-service/pythonReportController/dailySrcDetailsConsolidated?period=YYYY-MM</t>
        </is>
      </c>
      <c r="E15" s="31" t="inlineStr">
        <is>
          <t>/consolidated-python-report-service/pythonReportController/dailySrcDetailsConsolidated?period=YYYY-MM   (same pattern - to be confirmed)</t>
        </is>
      </c>
      <c r="F15" s="31" t="inlineStr">
        <is>
          <t>Yes</t>
        </is>
      </c>
    </row>
    <row r="16">
      <c r="A16" s="31" t="n">
        <v>12</v>
      </c>
      <c r="B16" s="31" t="inlineStr">
        <is>
          <t>Daily SRC Summary (All SRC) - Consolidated</t>
        </is>
      </c>
      <c r="C16" s="31" t="inlineStr">
        <is>
          <t>dailySrcSummaryConsolidated</t>
        </is>
      </c>
      <c r="D16" s="31" t="inlineStr">
        <is>
          <t>/consolidated-python-report-service/pythonReportController/dailySrcSummaryConsolidated?period=YYYY-MM</t>
        </is>
      </c>
      <c r="E16" s="31" t="inlineStr">
        <is>
          <t>/consolidated-python-report-service/pythonReportController/dailySrcSummaryConsolidated?period=YYYY-MM   (same pattern - to be confirmed)</t>
        </is>
      </c>
      <c r="F16" s="31" t="inlineStr">
        <is>
          <t>Yes</t>
        </is>
      </c>
    </row>
    <row r="17">
      <c r="A17" s="31" t="n">
        <v>13</v>
      </c>
      <c r="B17" s="31" t="inlineStr">
        <is>
          <t>Inventory Analysis Report (A 13) - Consolidated</t>
        </is>
      </c>
      <c r="C17" s="31" t="inlineStr">
        <is>
          <t>inventoryAnalysisConsolidated</t>
        </is>
      </c>
      <c r="D17" s="31" t="inlineStr">
        <is>
          <t>/consolidated-python-report-service/pythonReportController/inventoryAnalysisConsolidated?period=YYYY-MM</t>
        </is>
      </c>
      <c r="E17" s="31" t="inlineStr">
        <is>
          <t>/consolidated-python-report-service/pythonReportController/inventoryAnalysisConsolidated?period=YYYY-MM   (same pattern - to be confirmed)</t>
        </is>
      </c>
      <c r="F17" s="31" t="inlineStr">
        <is>
          <t>Yes</t>
        </is>
      </c>
    </row>
    <row r="18">
      <c r="A18" s="31" t="n">
        <v>14</v>
      </c>
      <c r="B18" s="31" t="inlineStr">
        <is>
          <t>Item Full Transaction - Consolidated</t>
        </is>
      </c>
      <c r="C18" s="31" t="inlineStr">
        <is>
          <t>itemFullTransactionConsolidated</t>
        </is>
      </c>
      <c r="D18" s="31" t="inlineStr">
        <is>
          <t>/consolidated-python-report-service/pythonReportController/itemFullTransactionConsolidated?period=YYYY-MM</t>
        </is>
      </c>
      <c r="E18" s="31" t="inlineStr">
        <is>
          <t>/consolidated-python-report-service/pythonReportController/itemFullTransactionConsolidated?period=YYYY-MM   (same pattern - to be confirmed)</t>
        </is>
      </c>
      <c r="F18" s="31" t="inlineStr">
        <is>
          <t>Yes</t>
        </is>
      </c>
    </row>
    <row r="19">
      <c r="A19" s="31" t="n">
        <v>15</v>
      </c>
      <c r="B19" s="31" t="inlineStr">
        <is>
          <t>Location In Details - Consolidated</t>
        </is>
      </c>
      <c r="C19" s="31" t="inlineStr">
        <is>
          <t>locationInDetailsConsolidated</t>
        </is>
      </c>
      <c r="D19" s="31" t="inlineStr">
        <is>
          <t>/consolidated-python-report-service/pythonReportController/locationInDetailsConsolidated?period=YYYY-MM</t>
        </is>
      </c>
      <c r="E19" s="31" t="inlineStr">
        <is>
          <t>/consolidated-python-report-service/pythonReportController/locationInDetailsConsolidated?period=YYYY-MM   (same pattern - to be confirmed)</t>
        </is>
      </c>
      <c r="F19" s="31" t="inlineStr">
        <is>
          <t>Yes</t>
        </is>
      </c>
    </row>
    <row r="20">
      <c r="A20" s="31" t="n">
        <v>16</v>
      </c>
      <c r="B20" s="31" t="inlineStr">
        <is>
          <t>Location In Summary - Consolidated</t>
        </is>
      </c>
      <c r="C20" s="31" t="inlineStr">
        <is>
          <t>locationInSummaryConsolidated</t>
        </is>
      </c>
      <c r="D20" s="31" t="inlineStr">
        <is>
          <t>/consolidated-python-report-service/pythonReportController/locationInSummaryConsolidated?period=YYYY-MM</t>
        </is>
      </c>
      <c r="E20" s="31" t="inlineStr">
        <is>
          <t>/consolidated-python-report-service/pythonReportController/locationInSummaryConsolidated?period=YYYY-MM   (same pattern - to be confirmed)</t>
        </is>
      </c>
      <c r="F20" s="31" t="inlineStr">
        <is>
          <t>Yes</t>
        </is>
      </c>
    </row>
    <row r="21">
      <c r="A21" s="31" t="n">
        <v>17</v>
      </c>
      <c r="B21" s="31" t="inlineStr">
        <is>
          <t>Location Out Details - Consolidated</t>
        </is>
      </c>
      <c r="C21" s="31" t="inlineStr">
        <is>
          <t>locationOutDetailsConsolidated</t>
        </is>
      </c>
      <c r="D21" s="31" t="inlineStr">
        <is>
          <t>/consolidated-python-report-service/pythonReportController/locationOutDetailsConsolidated?period=YYYY-MM</t>
        </is>
      </c>
      <c r="E21" s="31" t="inlineStr">
        <is>
          <t>/consolidated-python-report-service/pythonReportController/locationOutDetailsConsolidated?period=YYYY-MM   (same pattern - to be confirmed)</t>
        </is>
      </c>
      <c r="F21" s="31" t="inlineStr">
        <is>
          <t>Yes</t>
        </is>
      </c>
    </row>
    <row r="22">
      <c r="A22" s="31" t="n">
        <v>18</v>
      </c>
      <c r="B22" s="31" t="inlineStr">
        <is>
          <t>Location Out Summary - Consolidated</t>
        </is>
      </c>
      <c r="C22" s="31" t="inlineStr">
        <is>
          <t>locationOutSummaryConsolidated</t>
        </is>
      </c>
      <c r="D22" s="31" t="inlineStr">
        <is>
          <t>/consolidated-python-report-service/pythonReportController/locationOutSummaryConsolidated?period=YYYY-MM</t>
        </is>
      </c>
      <c r="E22" s="31" t="inlineStr">
        <is>
          <t>/consolidated-python-report-service/pythonReportController/locationOutSummaryConsolidated?period=YYYY-MM   (same pattern - to be confirmed)</t>
        </is>
      </c>
      <c r="F22" s="31" t="inlineStr">
        <is>
          <t>Yes</t>
        </is>
      </c>
    </row>
    <row r="23">
      <c r="A23" s="31" t="n">
        <v>19</v>
      </c>
      <c r="B23" s="31" t="inlineStr">
        <is>
          <t>Management Control Report - Consolidated</t>
        </is>
      </c>
      <c r="C23" s="31" t="inlineStr">
        <is>
          <t>managementControlConsolidated</t>
        </is>
      </c>
      <c r="D23" s="31" t="inlineStr">
        <is>
          <t>/consolidated-python-report-service/pythonReportController/managementControlConsolidated?period=YYYY-MM</t>
        </is>
      </c>
      <c r="E23" s="31" t="inlineStr">
        <is>
          <t>/consolidated-python-report-service/pythonReportController/managementControlConsolidated?period=YYYY-MM   (same pattern - to be confirmed)</t>
        </is>
      </c>
      <c r="F23" s="31" t="inlineStr">
        <is>
          <t>Yes</t>
        </is>
      </c>
    </row>
    <row r="24">
      <c r="A24" s="31" t="n">
        <v>20</v>
      </c>
      <c r="B24" s="31" t="inlineStr">
        <is>
          <t>ManDay Cost Report (SRC vs PRJ) - Consolidated</t>
        </is>
      </c>
      <c r="C24" s="31" t="inlineStr">
        <is>
          <t>mandayCostConsolidated</t>
        </is>
      </c>
      <c r="D24" s="31" t="inlineStr">
        <is>
          <t>/consolidated-python-report-service/pythonReportController/mandayCostConsolidated?period=YYYY-MM</t>
        </is>
      </c>
      <c r="E24" s="31" t="inlineStr">
        <is>
          <t>/consolidated-python-report-service/pythonReportController/mandayCostConsolidated?period=YYYY-MM   (same pattern - to be confirmed)</t>
        </is>
      </c>
      <c r="F24" s="31" t="inlineStr">
        <is>
          <t>Yes</t>
        </is>
      </c>
    </row>
    <row r="25">
      <c r="A25" s="31" t="n">
        <v>21</v>
      </c>
      <c r="B25" s="31" t="inlineStr">
        <is>
          <t>Physical Stock Checking Form - Consolidated</t>
        </is>
      </c>
      <c r="C25" s="31" t="inlineStr">
        <is>
          <t>physicalStockCheckingConsolidated</t>
        </is>
      </c>
      <c r="D25" s="31" t="inlineStr">
        <is>
          <t>/consolidated-python-report-service/pythonReportController/physicalStockCheckingConsolidated?period=YYYY-MM</t>
        </is>
      </c>
      <c r="E25" s="31" t="inlineStr">
        <is>
          <t>/consolidated-python-report-service/pythonReportController/physicalStockCheckingConsolidated?period=YYYY-MM   (same pattern - to be confirmed)</t>
        </is>
      </c>
      <c r="F25" s="31" t="inlineStr">
        <is>
          <t>Yes</t>
        </is>
      </c>
    </row>
    <row r="26">
      <c r="A26" s="31" t="n">
        <v>22</v>
      </c>
      <c r="B26" s="31" t="inlineStr">
        <is>
          <t>PRJ By Category Cost - Consolidated</t>
        </is>
      </c>
      <c r="C26" s="31" t="inlineStr">
        <is>
          <t>prjByCategoryCostConsolidated</t>
        </is>
      </c>
      <c r="D26" s="31" t="inlineStr">
        <is>
          <t>/consolidated-python-report-service/pythonReportController/prjByCategoryCostConsolidated?period=YYYY-MM</t>
        </is>
      </c>
      <c r="E26" s="31" t="inlineStr">
        <is>
          <t>/consolidated-python-report-service/pythonReportController/prjByCategoryCostConsolidated?period=YYYY-MM   (same pattern - to be confirmed)</t>
        </is>
      </c>
      <c r="F26" s="31" t="inlineStr">
        <is>
          <t>Yes</t>
        </is>
      </c>
    </row>
    <row r="27">
      <c r="A27" s="31" t="n">
        <v>23</v>
      </c>
      <c r="B27" s="31" t="inlineStr">
        <is>
          <t>PRJ By Category Qty - Consolidated</t>
        </is>
      </c>
      <c r="C27" s="31" t="inlineStr">
        <is>
          <t>prjByCategoryQtyConsolidated</t>
        </is>
      </c>
      <c r="D27" s="31" t="inlineStr">
        <is>
          <t>/consolidated-python-report-service/pythonReportController/prjByCategoryQtyConsolidated?period=YYYY-MM</t>
        </is>
      </c>
      <c r="E27" s="31" t="inlineStr">
        <is>
          <t>/consolidated-python-report-service/pythonReportController/prjByCategoryQtyConsolidated?period=YYYY-MM   (same pattern - to be confirmed)</t>
        </is>
      </c>
      <c r="F27" s="31" t="inlineStr">
        <is>
          <t>Yes</t>
        </is>
      </c>
    </row>
    <row r="28">
      <c r="A28" s="31" t="n">
        <v>24</v>
      </c>
      <c r="B28" s="31" t="inlineStr">
        <is>
          <t>PRJ By Item Cost - Consolidated</t>
        </is>
      </c>
      <c r="C28" s="31" t="inlineStr">
        <is>
          <t>prjByItemCostConsolidated</t>
        </is>
      </c>
      <c r="D28" s="31" t="inlineStr">
        <is>
          <t>/consolidated-python-report-service/pythonReportController/prjByItemCostConsolidated?period=YYYY-MM</t>
        </is>
      </c>
      <c r="E28" s="31" t="inlineStr">
        <is>
          <t>/consolidated-python-report-service/pythonReportController/prjByItemCostConsolidated?period=YYYY-MM   (same pattern - to be confirmed)</t>
        </is>
      </c>
      <c r="F28" s="31" t="inlineStr">
        <is>
          <t>Yes</t>
        </is>
      </c>
    </row>
    <row r="29">
      <c r="A29" s="31" t="n">
        <v>25</v>
      </c>
      <c r="B29" s="31" t="inlineStr">
        <is>
          <t>PRJ By Item Qty &amp; Cost - Consolidated</t>
        </is>
      </c>
      <c r="C29" s="31" t="inlineStr">
        <is>
          <t>prjByItemQtyCostConsolidated</t>
        </is>
      </c>
      <c r="D29" s="31" t="inlineStr">
        <is>
          <t>/consolidated-python-report-service/pythonReportController/prjByItemQtyCostConsolidated?period=YYYY-MM</t>
        </is>
      </c>
      <c r="E29" s="31" t="inlineStr">
        <is>
          <t>/consolidated-python-report-service/pythonReportController/prjByItemQtyCostConsolidated?period=YYYY-MM   (same pattern - to be confirmed)</t>
        </is>
      </c>
      <c r="F29" s="31" t="inlineStr">
        <is>
          <t>Yes</t>
        </is>
      </c>
    </row>
    <row r="30">
      <c r="A30" s="31" t="n">
        <v>26</v>
      </c>
      <c r="B30" s="31" t="inlineStr">
        <is>
          <t>PRJ Delivery Details - Consolidated</t>
        </is>
      </c>
      <c r="C30" s="31" t="inlineStr">
        <is>
          <t>prjDeliveryDetailsConsolidated</t>
        </is>
      </c>
      <c r="D30" s="31" t="inlineStr">
        <is>
          <t>/consolidated-python-report-service/pythonReportController/prjDeliveryDetailsConsolidated?period=YYYY-MM</t>
        </is>
      </c>
      <c r="E30" s="31" t="inlineStr">
        <is>
          <t>/consolidated-python-report-service/pythonReportController/prjDeliveryDetailsConsolidated?period=YYYY-MM   (same pattern - to be confirmed)</t>
        </is>
      </c>
      <c r="F30" s="31" t="inlineStr">
        <is>
          <t>Yes</t>
        </is>
      </c>
    </row>
    <row r="31">
      <c r="A31" s="31" t="n">
        <v>27</v>
      </c>
      <c r="B31" s="31" t="inlineStr">
        <is>
          <t>PRJ Delivery Summary By Date Family Id - Consolidated</t>
        </is>
      </c>
      <c r="C31" s="31" t="inlineStr">
        <is>
          <t>prjDeliverySummaryConsolidated</t>
        </is>
      </c>
      <c r="D31" s="31" t="inlineStr">
        <is>
          <t>/consolidated-python-report-service/pythonReportController/prjDeliverySummaryConsolidated?period=YYYY-MM</t>
        </is>
      </c>
      <c r="E31" s="31" t="inlineStr">
        <is>
          <t>/consolidated-python-report-service/pythonReportController/prjDeliverySummaryConsolidated?period=YYYY-MM   (same pattern - to be confirmed)</t>
        </is>
      </c>
      <c r="F31" s="31" t="inlineStr">
        <is>
          <t>Yes</t>
        </is>
      </c>
    </row>
    <row r="32">
      <c r="A32" s="31" t="n">
        <v>28</v>
      </c>
      <c r="B32" s="31" t="inlineStr">
        <is>
          <t>PRJ Item By Quantity - Consolidated</t>
        </is>
      </c>
      <c r="C32" s="31" t="inlineStr">
        <is>
          <t>prjItemByQuantityConsolidated</t>
        </is>
      </c>
      <c r="D32" s="31" t="inlineStr">
        <is>
          <t>/consolidated-python-report-service/pythonReportController/prjItemByQuantityConsolidated?period=YYYY-MM</t>
        </is>
      </c>
      <c r="E32" s="31" t="inlineStr">
        <is>
          <t>/consolidated-python-report-service/pythonReportController/prjItemByQuantityConsolidated?period=YYYY-MM   (same pattern - to be confirmed)</t>
        </is>
      </c>
      <c r="F32" s="31" t="inlineStr">
        <is>
          <t>Yes</t>
        </is>
      </c>
    </row>
    <row r="33">
      <c r="A33" s="31" t="n">
        <v>29</v>
      </c>
      <c r="B33" s="31" t="inlineStr">
        <is>
          <t>PRJ Receive Details - Consolidated</t>
        </is>
      </c>
      <c r="C33" s="31" t="inlineStr">
        <is>
          <t>prjReceiveDetailsConsolidated</t>
        </is>
      </c>
      <c r="D33" s="31" t="inlineStr">
        <is>
          <t>/consolidated-python-report-service/pythonReportController/prjReceiveDetailsConsolidated?period=YYYY-MM</t>
        </is>
      </c>
      <c r="E33" s="31" t="inlineStr">
        <is>
          <t>/consolidated-python-report-service/pythonReportController/prjReceiveDetailsConsolidated?period=YYYY-MM   (same pattern - to be confirmed)</t>
        </is>
      </c>
      <c r="F33" s="31" t="inlineStr">
        <is>
          <t>Yes</t>
        </is>
      </c>
    </row>
    <row r="34">
      <c r="A34" s="31" t="n">
        <v>30</v>
      </c>
      <c r="B34" s="31" t="inlineStr">
        <is>
          <t>PRJ Receive Summary Details - Consolidated</t>
        </is>
      </c>
      <c r="C34" s="31" t="inlineStr">
        <is>
          <t>prjReceiveSummaryConsolidated</t>
        </is>
      </c>
      <c r="D34" s="31" t="inlineStr">
        <is>
          <t>/consolidated-python-report-service/pythonReportController/prjReceiveSummaryConsolidated?period=YYYY-MM</t>
        </is>
      </c>
      <c r="E34" s="31" t="inlineStr">
        <is>
          <t>/consolidated-python-report-service/pythonReportController/prjReceiveSummaryConsolidated?period=YYYY-MM   (same pattern - to be confirmed)</t>
        </is>
      </c>
      <c r="F34" s="31" t="inlineStr">
        <is>
          <t>Yes</t>
        </is>
      </c>
    </row>
    <row r="35">
      <c r="A35" s="31" t="n">
        <v>31</v>
      </c>
      <c r="B35" s="31" t="inlineStr">
        <is>
          <t>PRJ Summary Details - Consolidated</t>
        </is>
      </c>
      <c r="C35" s="31" t="inlineStr">
        <is>
          <t>prjSummaryDetailsConsolidated</t>
        </is>
      </c>
      <c r="D35" s="31" t="inlineStr">
        <is>
          <t>/consolidated-python-report-service/pythonReportController/prjSummaryDetailsConsolidated?period=YYYY-MM</t>
        </is>
      </c>
      <c r="E35" s="31" t="inlineStr">
        <is>
          <t>/consolidated-python-report-service/pythonReportController/prjSummaryDetailsConsolidated?period=YYYY-MM   (same pattern - to be confirmed)</t>
        </is>
      </c>
      <c r="F35" s="31" t="inlineStr">
        <is>
          <t>Yes</t>
        </is>
      </c>
    </row>
    <row r="36">
      <c r="A36" s="31" t="n">
        <v>32</v>
      </c>
      <c r="B36" s="31" t="inlineStr">
        <is>
          <t>PRJ Summary Details By Date - Consolidated</t>
        </is>
      </c>
      <c r="C36" s="31" t="inlineStr">
        <is>
          <t>prjSummaryByDateConsolidated</t>
        </is>
      </c>
      <c r="D36" s="31" t="inlineStr">
        <is>
          <t>/consolidated-python-report-service/pythonReportController/prjSummaryByDateConsolidated?period=YYYY-MM</t>
        </is>
      </c>
      <c r="E36" s="31" t="inlineStr">
        <is>
          <t>/consolidated-python-report-service/pythonReportController/prjSummaryByDateConsolidated?period=YYYY-MM   (same pattern - to be confirmed)</t>
        </is>
      </c>
      <c r="F36" s="31" t="inlineStr">
        <is>
          <t>Yes</t>
        </is>
      </c>
    </row>
    <row r="37">
      <c r="A37" s="31" t="n">
        <v>33</v>
      </c>
      <c r="B37" s="31" t="inlineStr">
        <is>
          <t>Stock Movement - Consolidated</t>
        </is>
      </c>
      <c r="C37" s="31" t="inlineStr">
        <is>
          <t>stockMovementConsolidated</t>
        </is>
      </c>
      <c r="D37" s="31" t="inlineStr">
        <is>
          <t>/consolidated-python-report-service/pythonReportController/stockMovementConsolidated?period=YYYY-MM</t>
        </is>
      </c>
      <c r="E37" s="31" t="inlineStr">
        <is>
          <t>/consolidated-python-report-service/pythonReportController/stockMovementConsolidated?period=YYYY-MM   (same pattern - to be confirmed)</t>
        </is>
      </c>
      <c r="F37" s="31" t="inlineStr">
        <is>
          <t>Yes</t>
        </is>
      </c>
    </row>
    <row r="38">
      <c r="A38" s="31" t="n">
        <v>34</v>
      </c>
      <c r="B38" s="31" t="inlineStr">
        <is>
          <t>Stock Report - Consolidated</t>
        </is>
      </c>
      <c r="C38" s="31" t="inlineStr">
        <is>
          <t>stockReportConsolidated</t>
        </is>
      </c>
      <c r="D38" s="31" t="inlineStr">
        <is>
          <t>/consolidated-python-report-service/pythonReportController/stockReportConsolidated?period=YYYY-MM</t>
        </is>
      </c>
      <c r="E38" s="31" t="inlineStr">
        <is>
          <t>/consolidated-python-report-service/pythonReportController/stockReportConsolidated?period=YYYY-MM   (confirmed in the new swagger)</t>
        </is>
      </c>
      <c r="F38" s="31" t="inlineStr">
        <is>
          <t>Yes</t>
        </is>
      </c>
    </row>
    <row r="39">
      <c r="A39" s="31" t="n">
        <v>35</v>
      </c>
      <c r="B39" s="31" t="inlineStr">
        <is>
          <t>Physical Stock Discrepancies - Consolidated</t>
        </is>
      </c>
      <c r="C39" s="31" t="inlineStr">
        <is>
          <t>physicalStockDiscrepancies</t>
        </is>
      </c>
      <c r="D39" s="31" t="inlineStr">
        <is>
          <t>/consolidated-python-report-service/pythonReportController/physicalStockDiscrepancies?period=YYYY-MM</t>
        </is>
      </c>
      <c r="E39" s="31" t="inlineStr">
        <is>
          <t>/consolidated-python-report-service/pythonReportController/physicalStockDiscrepancies?period=YYYY-MM   (same pattern - to be confirmed)</t>
        </is>
      </c>
      <c r="F39" s="31" t="inlineStr">
        <is>
          <t>Yes</t>
        </is>
      </c>
    </row>
  </sheetData>
  <autoFilter ref="A4:F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0" customWidth="1" style="16" min="1" max="1"/>
    <col width="110" customWidth="1" style="16" min="2" max="2"/>
  </cols>
  <sheetData>
    <row r="1" ht="31.5" customHeight="1" s="16">
      <c r="A1" s="11" t="inlineStr">
        <is>
          <t>ELMS Watch - new backend API tracker</t>
        </is>
      </c>
      <c r="B1" s="12" t="n"/>
    </row>
    <row r="2">
      <c r="A2" s="13" t="inlineStr">
        <is>
          <t>Purpose</t>
        </is>
      </c>
      <c r="B2" s="12" t="inlineStr">
        <is>
          <t>Shows which screens of the new frontend already use the new backend API, and which endpoints each one calls.</t>
        </is>
      </c>
    </row>
    <row r="3" ht="25.5" customHeight="1" s="16">
      <c r="A3" s="13" t="inlineStr">
        <is>
          <t>Screen Status sheet</t>
        </is>
      </c>
      <c r="B3" s="12" t="inlineStr">
        <is>
          <t>One row per screen. The endpoint counts, 'New API added?' and 'Last updated' are calculated from the Endpoints sheet - do not type over them. 'Tour covers all options?' and Notes are typed by hand.</t>
        </is>
      </c>
    </row>
    <row r="4" ht="38.25" customHeight="1" s="16">
      <c r="A4" s="13" t="inlineStr">
        <is>
          <t>Endpoints sheet</t>
        </is>
      </c>
      <c r="B4" s="12" t="inlineStr">
        <is>
          <t>One row per endpoint a screen calls. A call used two ways (e.g. with and without locationId) gets one row for each way, and a call a screen gets through a shared component (the location picker) is listed for that screen too, so the counts match the 'Old vs New APIs' sheet.</t>
        </is>
      </c>
    </row>
    <row r="5" ht="25.5" customHeight="1" s="16">
      <c r="A5" s="13" t="inlineStr">
        <is>
          <t>Cells to edit</t>
        </is>
      </c>
      <c r="B5" s="12" t="inlineStr">
        <is>
          <t>On Endpoints: New endpoint, Status, Date integrated, Tell backend team? (Yes / blank), Notes. A new endpoint is a new row with the exact screen name from Screen Status. On Screen Status: 'Tour covers all options?' (Yes / No / n/a) and Notes.</t>
        </is>
      </c>
    </row>
    <row r="6" ht="38.25" customHeight="1" s="16">
      <c r="A6" s="13" t="inlineStr">
        <is>
          <t>Status values</t>
        </is>
      </c>
      <c r="B6" s="12" t="inlineStr">
        <is>
          <t>Pending (orange) = still on the old endpoint.  Integrated (light green) = code switched to the new endpoint, done.  Verified (dark green) = also checked against the real server's response. Integrated is NOT 'partial' - only the 'New API added?' value Partial means some of a screen's endpoints are still Pending.</t>
        </is>
      </c>
    </row>
    <row r="7" ht="25.5" customHeight="1" s="16">
      <c r="A7" s="13" t="inlineStr">
        <is>
          <t>New API added? (Screen Status)</t>
        </is>
      </c>
      <c r="B7" s="12" t="inlineStr">
        <is>
          <t>Yes = every endpoint of the screen is Integrated or Verified (done in code).  Partial = some endpoints are, some are still Pending (today only Login / Logout: login is done, logout is not).  No = none yet.  No API = the screen calls no backend.</t>
        </is>
      </c>
    </row>
    <row r="8" ht="25.5" customHeight="1" s="16">
      <c r="A8" s="13" t="inlineStr">
        <is>
          <t>Tour covers all options?</t>
        </is>
      </c>
      <c r="B8" s="12" t="inlineStr">
        <is>
          <t>Yes = the screen's 'Show tour' was checked against the page and visits every control, including modals and tabs (guarded by src/components/onboarding/tour.test.ts).  No = not reviewed yet.  n/a = not a tour screen.</t>
        </is>
      </c>
    </row>
    <row r="9">
      <c r="A9" s="13" t="inlineStr">
        <is>
          <t>When a screen is finished</t>
        </is>
      </c>
      <c r="B9" s="12" t="inlineStr">
        <is>
          <t>Its endpoints are Integrated or Verified AND its tour is Yes. After each screen both columns are updated with the date.</t>
        </is>
      </c>
    </row>
    <row r="10" ht="25.5" customHeight="1" s="16">
      <c r="A10" s="13" t="inlineStr">
        <is>
          <t>Paths</t>
        </is>
      </c>
      <c r="B10" s="12" t="inlineStr">
        <is>
          <t>Shown without the host. Gateway base: VITE_LOCAL_API_BASE_URL = http://103.39.133.98:8080/api-gateway. Login and logout: VITE_LOCAL_LOGIN_BASE_URL = http://103.39.133.98:8080.</t>
        </is>
      </c>
    </row>
    <row r="11">
      <c r="A11" s="13" t="inlineStr">
        <is>
          <t>Source</t>
        </is>
      </c>
      <c r="B11" s="12" t="inlineStr">
        <is>
          <t>Old endpoints were read from each screen's api.ts on 2026-10-07. New endpoints come from the backend's Swagger pages.</t>
        </is>
      </c>
    </row>
    <row r="12">
      <c r="A12" s="13" t="n"/>
      <c r="B12" s="12" t="n"/>
    </row>
    <row r="13" ht="15.75" customHeight="1" s="16">
      <c r="A13" s="11" t="inlineStr">
        <is>
          <t>Done</t>
        </is>
      </c>
      <c r="B13" s="12" t="n"/>
    </row>
    <row r="14" ht="25.5" customHeight="1" s="16">
      <c r="A14" s="13" t="inlineStr">
        <is>
          <t>Token in login response</t>
        </is>
      </c>
      <c r="B14" s="12" t="inlineStr">
        <is>
          <t>2026-10-07: the login response carries data.authToken. The frontend keeps it (memory + sessionStorage) and sends it as Authorization: Bearer on every call except login. Cookie handling was removed.</t>
        </is>
      </c>
    </row>
    <row r="15" ht="25.5" customHeight="1" s="16">
      <c r="A15" s="13" t="inlineStr">
        <is>
          <t>Session expiry (401)</t>
        </is>
      </c>
      <c r="B15" s="12" t="inlineStr">
        <is>
          <t>2026-10-07: a 401 on any call opens the 'Session expired' modal, which counts down 10 seconds and then logs out and redirects to the login page.</t>
        </is>
      </c>
    </row>
    <row r="16">
      <c r="A16" s="13" t="n"/>
      <c r="B16" s="12" t="n"/>
    </row>
    <row r="17" ht="15.75" customHeight="1" s="16">
      <c r="A17" s="11" t="inlineStr">
        <is>
          <t>Tell the backend team</t>
        </is>
      </c>
      <c r="B17" s="12" t="n"/>
    </row>
    <row r="18" ht="38.25" customHeight="1" s="16">
      <c r="A18" s="13" t="inlineStr">
        <is>
          <t>Location Details - inventoryData</t>
        </is>
      </c>
      <c r="B18" s="12" t="inlineStr">
        <is>
          <t>GET /overallSummary-service/locationSummaryController/inventoryData/{period}/{locationId} and .../inventoryDataByLocationByDate/{period}/{locationId}/{date} are served by locationSummaryController, while the other Location Details calls are on locationDetailsController. Ask the backend team whether that is intended or whether they will move to locationDetailsController. (Orange row on the Endpoints sheet.)</t>
        </is>
      </c>
    </row>
    <row r="19" ht="38.25" customHeight="1" s="16">
      <c r="A19" s="13" t="inlineStr">
        <is>
          <t>Location Details - Consumption Compare request</t>
        </is>
      </c>
      <c r="B19" s="12" t="inlineStr">
        <is>
          <t>The new listOfLocationDetails request has previousMonths / previousYears instead of the old filter + yearList. The frontend sends only the comparison months (not the base month, which is the request's own month / year), in the order previousMonthTotalCost1..11 are read. Ask the backend team to confirm.</t>
        </is>
      </c>
    </row>
    <row r="20">
      <c r="A20" s="13" t="n"/>
      <c r="B20" s="12" t="n"/>
    </row>
    <row r="21" ht="15.75" customHeight="1" s="16">
      <c r="A21" s="11" t="inlineStr">
        <is>
          <t>Open items</t>
        </is>
      </c>
      <c r="B21" s="12" t="n"/>
    </row>
    <row r="22" ht="25.5" customHeight="1" s="16">
      <c r="A22" s="13" t="inlineStr">
        <is>
          <t>1. Overall Summary GET path</t>
        </is>
      </c>
      <c r="B22" s="12" t="inlineStr">
        <is>
          <t>The backend gave /lmsDashBoardController/listOfLmsDashBorard/... with no service name. overallSummary-service was assumed. Confirm with a real call.</t>
        </is>
      </c>
    </row>
    <row r="23" ht="38.25" customHeight="1" s="16">
      <c r="A23" s="13" t="inlineStr">
        <is>
          <t>2. Duplicate CORS header</t>
        </is>
      </c>
      <c r="B23" s="12" t="inlineStr">
        <is>
          <t>Through /api-gateway, login responses carried two Access-Control-Allow-Origin headers, which Chrome rejects. Login and logout skip the gateway as a workaround. Every other screen still goes through the gateway, so Overall Summary, Location Summary and the rest may hit the same error when tested live.</t>
        </is>
      </c>
    </row>
    <row r="24">
      <c r="A24" s="13" t="inlineStr">
        <is>
          <t>3. Month Closing</t>
        </is>
      </c>
      <c r="B24" s="12" t="inlineStr">
        <is>
          <t>The new app calls POST http://103.73.189.202:5000/pull/month-closing directly (separate host, plain http), but old ELMS's current code calls GET /consolidated-python-report-service/pythonReportController/monthClosing through the api-gateway, which wraps the result in python_response. Confirm which one is real and whether it moves to the new backend.</t>
        </is>
      </c>
    </row>
    <row r="25" ht="25.5" customHeight="1" s="16">
      <c r="A25" s="13" t="inlineStr">
        <is>
          <t>4. Screen Rights</t>
        </is>
      </c>
      <c r="B25" s="12" t="inlineStr">
        <is>
          <t>The sidebar entry and route exist, but the page needs the backend's screen-rights endpoints (load a user's rights, save). The login response also has no entry for the screen itself, so every user would see it.</t>
        </is>
      </c>
    </row>
    <row r="26" ht="38.25" customHeight="1" s="16">
      <c r="A26" s="13" t="inlineStr">
        <is>
          <t>5. Location Insight day-wise format</t>
        </is>
      </c>
      <c r="B26" s="12" t="inlineStr">
        <is>
          <t>Integrated 2026-10-07 on the new response. The three dayWise lists are string[] in Swagger; the frontend parses them as 'DD-MM-YYYY: value'. Confirm with a real response.</t>
        </is>
      </c>
    </row>
    <row r="27" ht="25.5" customHeight="1" s="16">
      <c r="A27" s="13" t="inlineStr">
        <is>
          <t>6. Other screens still on old service names</t>
        </is>
      </c>
      <c r="B27" s="12" t="inlineStr">
        <is>
          <t>Consumption Analysis, Stock on Hand, Target PRJ and Productivity still call location-summary-service / location-details-service / location-insight-service, and Daily PRJ, Data Tracker Report and Report still call consolidated-python-report-service. They will need the same switch when they are integrated.</t>
        </is>
      </c>
    </row>
    <row r="28" ht="25.5" customHeight="1" s="16">
      <c r="A28" s="13" t="inlineStr">
        <is>
          <t>7. Real-backend check</t>
        </is>
      </c>
      <c r="B28" s="12" t="inlineStr">
        <is>
          <t>Overall Summary, Location Summary, Location Details, Location Insight, Category Analysis, Item Breakup, Report, Data Tracker Report, Daily PRJ, Target PRJ, Productivity, User Master, Location Rights, User Log, Item Analysis, Consumption Analysis and Stock on Hand were tested against sample responses in the new format (Report, Data Tracker Report, Daily PRJ and the User Log, Consumption and Stock on Hand Excel exports: no sample was given), not the real server.</t>
        </is>
      </c>
    </row>
    <row r="29" ht="38.25" customHeight="1" s="16">
      <c r="A29" s="13" t="inlineStr">
        <is>
          <t>8. Old APIs still in use</t>
        </is>
      </c>
      <c r="B29" s="12" t="inlineStr">
        <is>
          <t>Endpoints column I (Old API still used? (to migrate)) = Yes marks a call kept on the OLD backend so a new screen matches the old one. Currently none: Location Details inventoryDataByLocationByDate was migrated 2026-10-07. The old app also defined inventoryList/{locationId}/{date} but never called it (dead code), so it was not added.</t>
        </is>
      </c>
    </row>
    <row r="30" ht="51" customHeight="1" s="16">
      <c r="A30" s="13" t="inlineStr">
        <is>
          <t>Old vs New APIs sheet</t>
        </is>
      </c>
      <c r="B30" s="12" t="inlineStr">
        <is>
          <t>Compares each screen's calls in the old ELMS with what the new AGS ELMS uses: API calls in old ELMS, API calls used in new AGS ELMS, Replaced with new backend, OLD API kept (to migrate), Not added (never called in old app) and Still on old backend (pending). Screens checked so far: Overall Summary, Location Summary, Location Details, Location Insight, Daily PRJ, Consumption Analysis, Category Analysis and Item Breakup. Category Analysis and Item Breakup are done; Data Tracker Report is done; Report is done and counted as 1 call (its 35 report types are listed on the 'Report types' sheet); Stock on Hand (6 calls) is checked, pending; Target PRJ is done; Productivity is done; User Master is done; Location Rights is done; User Log is done; Item Analysis is done; Month Closing is checked (1 call, a different endpoint in each app, pending); Daily PRJ is done (hold lifted 2026-10-08); WasteCost Analysis and Month Closing are ON HOLD (noted in their rows); Consumption Analysis's hold was lifted 2026-10-08 and it is now done; Stock on Hand was integrated 2026-10-08. The counts are formulas over the one-by-one table under them. Add a screen's rows there when it is checked.</t>
        </is>
      </c>
    </row>
    <row r="31" ht="25.5" customHeight="1" s="16">
      <c r="A31" s="13" t="inlineStr">
        <is>
          <t>Counting rule</t>
        </is>
      </c>
      <c r="B31" s="12" t="inlineStr">
        <is>
          <t>One count = one call the screen makes (an endpoint used two ways counts twice). The 'Endpoints' sheet, 'Screen Status' sheet and 'Old vs New APIs' sheet show the same numbers for a finished screen.</t>
        </is>
      </c>
    </row>
    <row r="32" ht="38.25" customHeight="1" s="16">
      <c r="A32" s="13" t="inlineStr">
        <is>
          <t>Category Analysis - item drill-down request</t>
        </is>
      </c>
      <c r="B32" s="12" t="inlineStr">
        <is>
          <t>POST /item-analysis-summary-service/itemIngredientAnalysisController/listOfItemIngredientAnalysis: the old Category Analysis screen sent startDate / endDate for the billing window; the new request only has fromDate / toDate (and periodStr). The frontend sends fromDate / toDate and periodStr. Ask the backend team to confirm. (Orange row on the Endpoints sheet.)</t>
        </is>
      </c>
    </row>
    <row r="33">
      <c r="A33" s="13" t="inlineStr">
        <is>
          <t>Item Breakup - listOfItemBreakup</t>
        </is>
      </c>
      <c r="B33" s="12" t="inlineStr">
        <is>
          <t>POST /item-analysis-summary-service/itemBreakupController/listOfItemBreakup: the new swagger spells the 6-months-ago quantity previousQt6 (the other months are previousQty1-5 and 7-11), and the new request has no type field. The frontend reads previousQt6 for month 6 and no longer sends type. Ask the backend team to confirm. (Orange row on the Endpoints sheet.)</t>
        </is>
      </c>
    </row>
    <row r="34">
      <c r="A34" s="13" t="inlineStr">
        <is>
          <t>Report - response shape</t>
        </is>
      </c>
      <c r="B34" s="12" t="inlineStr">
        <is>
          <t>GET /consolidated-python-report-service/pythonReportController/{reportKey}?period=YYYY-MM: the new swagger showed only stockReportConsolidated and its period param, with no response. The frontend assumes the other 34 reports keep the same pattern and that the file link comes back as download_url (downloadUrlPath is also accepted). Ask the backend team to confirm. (Orange row on the Endpoints sheet.)</t>
        </is>
      </c>
    </row>
    <row r="35">
      <c r="A35" s="13" t="inlineStr">
        <is>
          <t>Data Tracker Report - response shape</t>
        </is>
      </c>
      <c r="B35" s="12" t="inlineStr">
        <is>
          <t>GET /analysis-service/pythonReportController/lmsDataTrackerReport?period=YYYY-MM-01 (optional locationId): the new swagger shows the response as {}. The frontend assumes the old JSON (status, period, download_url, day_numbers, days, detail_sheet.data[]), bare or inside {success, message, data}, and accepts downloadUrlPath for the file link. Ask the backend team for a sample response. (Orange row on the Endpoints sheet.)</t>
        </is>
      </c>
    </row>
    <row r="36">
      <c r="A36" s="13" t="inlineStr">
        <is>
          <t>Target PRJ - save request</t>
        </is>
      </c>
      <c r="B36" s="12" t="inlineStr">
        <is>
          <t>POST /overallSummary-service/locationInsightController/modifyPropertyTargetPrj: the new request has more fields than the old one (locationName, propertyValue, status per location; controllPrjId, prjStatus, period per target). The frontend sends each changed target as the list returned it, with only targetValue changed, for the one location being saved, and period as DD-MM-YYYY. Ask the backend team to confirm. (Orange row on the Endpoints sheet.)</t>
        </is>
      </c>
    </row>
    <row r="37">
      <c r="A37" s="13" t="inlineStr">
        <is>
          <t>Productivity - save request</t>
        </is>
      </c>
      <c r="B37" s="12" t="inlineStr">
        <is>
          <t>POST /overallSummary-service/locationInsightController/modifyPropertyProductivity: each location in the new request has more fields than the old one (propertyValue, status, period next to locationId, locationName, productivity). The frontend sends every changed location as the list returned it, with only productivity changed, and the top-level period as DD-MM-YYYY. Ask the backend team to confirm. (Orange row on the Endpoints sheet.)</t>
        </is>
      </c>
    </row>
    <row r="38">
      <c r="A38" s="13" t="inlineStr">
        <is>
          <t>User Master - password in the list</t>
        </is>
      </c>
      <c r="B38" s="12" t="inlineStr">
        <is>
          <t>GET /login-credential-service/loginController/listOfUserMaster: the new swagger shows the user DTO with a password field on every user in the list. The frontend never keeps it, but the backend should not send it at all. The five User Master endpoints are the same service and paths as in the old app; only the responses are now {success, message, data}. (Orange row on the Endpoints sheet.)</t>
        </is>
      </c>
    </row>
    <row r="39">
      <c r="A39" s="13" t="inlineStr">
        <is>
          <t>Location Rights - location rows</t>
        </is>
      </c>
      <c r="B39" s="12" t="inlineStr">
        <is>
          <t>GET /login-credential-service/loginController/userDropdownByLocatinRights/{userFk}: the new swagger shows the wide shared DTO with both code / name and locationId / locationName. The frontend reads code / name first and falls back to the other pair, and keys the ticks on the row's own pk, so pk must be unique per location (pkThree is the user's pk on every row). Ask the backend team to confirm. The three endpoints are the same service and paths as in the old app. (Orange row on the Endpoints sheet.)</t>
        </is>
      </c>
    </row>
    <row r="40">
      <c r="A40" s="13" t="inlineStr">
        <is>
          <t>User Log - Excel export response</t>
        </is>
      </c>
      <c r="B40" s="12" t="inlineStr">
        <is>
          <t>POST /login-credential-service/loginController/retreiveUserLogByExcel: the new swagger gives no response structure; the old app received the workbook itself. The frontend saves a file reply, shows the message of a JSON reply with success:false or an error status, and opens a file link if the reply is JSON carrying download_url / downloadUrlPath. The list call (retreiveUserLog) sends day as yyyy-MM-dd while the swagger shows a date-time. Ask the backend team to confirm both. (Orange rows on the Endpoints sheet.)</t>
        </is>
      </c>
    </row>
    <row r="41">
      <c r="A41" s="13" t="inlineStr">
        <is>
          <t>Item Analysis - category names</t>
        </is>
      </c>
      <c r="B41" s="12" t="inlineStr">
        <is>
          <t>POST /item-analysis-summary-service/itemIngredientAnalysisController/listOfItemIngredientAnalysis: the response has data.itemList and data.categoryList. The chart names each slice by categoryList.categoryId (falling back to categoryName) and drills into the items whose itemList.categoryId equals it, so the two must use the same value. Ask the backend team to confirm. The category list and SRC type list now come from the Item Breakup and Category Analysis calls. (Orange row on the Endpoints sheet.)</t>
        </is>
      </c>
    </row>
    <row r="42">
      <c r="A42" s="13" t="inlineStr">
        <is>
          <t>Consumption Analysis - detail call and Excel</t>
        </is>
      </c>
      <c r="B42" s="12" t="inlineStr">
        <is>
          <t>POST /analysis-service/locationSummaryController/consumptionByLocationByDate: the item rows (summaryList) carry no unit price, so the frontend works it out as totalAmount / totalQty, and the per-manday chart reads dynamicPerMandayMap (falling back to dynamicSrcTypeMap). GET /analysis-service/pythonReportController/getConsumptionReport: no response structure was given; the frontend saves a file, shows a JSON error's message, or opens a JSON file link. Ask the backend team to confirm all three. (Orange rows on the Endpoints sheet.)</t>
        </is>
      </c>
    </row>
    <row r="43">
      <c r="A43" s="13" t="inlineStr">
        <is>
          <t>Stock on Hand - dropdown path and Excel</t>
        </is>
      </c>
      <c r="B43" s="12" t="inlineStr">
        <is>
          <t>GET /analysis-service/locationDetailsController/overallDropDown/...: the swagger gave this path with no controller name; locationDetailsController was assumed because the parameters match Consumption Analysis. Confirm it. POST .../locationSummaryController/sohAnalysisLst now returns {summary, sohList}. GET .../pythonReportController/getSohAnalysis (period YYYY-MM-DD): the response is empty in the swagger; the frontend saves a file, shows a JSON error's message, or opens a JSON file link. (Orange rows on the Endpoints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2026-10-07T07:20:34Z</dcterms:created>
  <dcterms:modified xsi:type="dcterms:W3CDTF">2026-10-08T05:26:24Z</dcterms:modified>
  <cp:lastModifiedBy>DELL</cp:lastModifiedBy>
</cp:coreProperties>
</file>